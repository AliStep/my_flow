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PANORAMA2\"/>
    </mc:Choice>
  </mc:AlternateContent>
  <xr:revisionPtr revIDLastSave="0" documentId="8_{20096174-B053-4BC6-80FF-B3E80F2862E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rst trim" sheetId="4" r:id="rId1"/>
    <sheet name="Second trim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4" l="1"/>
  <c r="AF7" i="4" l="1"/>
  <c r="AF8" i="4"/>
  <c r="AI8" i="4" s="1"/>
  <c r="AF9" i="4"/>
  <c r="AJ9" i="4" s="1"/>
  <c r="AF10" i="4"/>
  <c r="AJ10" i="4" s="1"/>
  <c r="AF11" i="4"/>
  <c r="AJ11" i="4" s="1"/>
  <c r="AF12" i="4"/>
  <c r="AJ12" i="4" s="1"/>
  <c r="AF13" i="4"/>
  <c r="AJ13" i="4" s="1"/>
  <c r="AF14" i="4"/>
  <c r="AJ14" i="4" s="1"/>
  <c r="AF15" i="4"/>
  <c r="AF16" i="4"/>
  <c r="AF17" i="4"/>
  <c r="AF6" i="4"/>
  <c r="AF5" i="4"/>
  <c r="AJ5" i="4" s="1"/>
  <c r="Z12" i="4"/>
  <c r="AD12" i="4" s="1"/>
  <c r="Z7" i="4"/>
  <c r="AD7" i="4" s="1"/>
  <c r="Z8" i="4"/>
  <c r="AD8" i="4" s="1"/>
  <c r="Z9" i="4"/>
  <c r="AD9" i="4" s="1"/>
  <c r="Z10" i="4"/>
  <c r="AD10" i="4" s="1"/>
  <c r="Z11" i="4"/>
  <c r="AC11" i="4" s="1"/>
  <c r="Z6" i="4"/>
  <c r="AD6" i="4" s="1"/>
  <c r="Z5" i="4"/>
  <c r="AD5" i="4" s="1"/>
  <c r="AJ8" i="4"/>
  <c r="AK8" i="4"/>
  <c r="AK9" i="4"/>
  <c r="AK10" i="4"/>
  <c r="AK11" i="4"/>
  <c r="H8" i="4"/>
  <c r="L8" i="4" s="1"/>
  <c r="M8" i="4"/>
  <c r="N8" i="4"/>
  <c r="R8" i="4" s="1"/>
  <c r="S8" i="4"/>
  <c r="T8" i="4"/>
  <c r="X8" i="4" s="1"/>
  <c r="Y8" i="4"/>
  <c r="H9" i="4"/>
  <c r="L9" i="4" s="1"/>
  <c r="M9" i="4"/>
  <c r="N9" i="4"/>
  <c r="R9" i="4" s="1"/>
  <c r="S9" i="4"/>
  <c r="T9" i="4"/>
  <c r="X9" i="4" s="1"/>
  <c r="Y9" i="4"/>
  <c r="H10" i="4"/>
  <c r="L10" i="4" s="1"/>
  <c r="M10" i="4"/>
  <c r="N10" i="4"/>
  <c r="R10" i="4" s="1"/>
  <c r="S10" i="4"/>
  <c r="T10" i="4"/>
  <c r="X10" i="4" s="1"/>
  <c r="Y10" i="4"/>
  <c r="H11" i="4"/>
  <c r="L11" i="4" s="1"/>
  <c r="M11" i="4"/>
  <c r="N11" i="4"/>
  <c r="R11" i="4" s="1"/>
  <c r="S11" i="4"/>
  <c r="T11" i="4"/>
  <c r="X11" i="4" s="1"/>
  <c r="Y11" i="4"/>
  <c r="B8" i="4"/>
  <c r="F8" i="4" s="1"/>
  <c r="G8" i="4"/>
  <c r="B9" i="4"/>
  <c r="F9" i="4" s="1"/>
  <c r="G9" i="4"/>
  <c r="B10" i="4"/>
  <c r="F10" i="4" s="1"/>
  <c r="G10" i="4"/>
  <c r="B11" i="4"/>
  <c r="F11" i="4" s="1"/>
  <c r="G11" i="4"/>
  <c r="AE12" i="4"/>
  <c r="AE11" i="4"/>
  <c r="AE10" i="4"/>
  <c r="AE9" i="4"/>
  <c r="AE8" i="4"/>
  <c r="AE7" i="4"/>
  <c r="AE6" i="4"/>
  <c r="AE5" i="4"/>
  <c r="T12" i="4"/>
  <c r="W12" i="4" s="1"/>
  <c r="Y12" i="4"/>
  <c r="T13" i="4"/>
  <c r="W13" i="4" s="1"/>
  <c r="Y13" i="4"/>
  <c r="T14" i="4"/>
  <c r="W14" i="4" s="1"/>
  <c r="Y14" i="4"/>
  <c r="T15" i="4"/>
  <c r="W15" i="4" s="1"/>
  <c r="Y15" i="4"/>
  <c r="T16" i="4"/>
  <c r="W16" i="4" s="1"/>
  <c r="Y16" i="4"/>
  <c r="T17" i="4"/>
  <c r="W17" i="4" s="1"/>
  <c r="Y17" i="4"/>
  <c r="T18" i="4"/>
  <c r="W18" i="4" s="1"/>
  <c r="Y18" i="4"/>
  <c r="AJ7" i="4"/>
  <c r="AJ15" i="4"/>
  <c r="AJ16" i="4"/>
  <c r="AI17" i="4"/>
  <c r="AJ6" i="4"/>
  <c r="T6" i="4"/>
  <c r="T7" i="4"/>
  <c r="W7" i="4" s="1"/>
  <c r="T5" i="4"/>
  <c r="W5" i="4" s="1"/>
  <c r="AL7" i="5"/>
  <c r="AL8" i="5"/>
  <c r="AL9" i="5"/>
  <c r="Z9" i="5" s="1"/>
  <c r="AL10" i="5"/>
  <c r="Z10" i="5" s="1"/>
  <c r="AL11" i="5"/>
  <c r="AL12" i="5"/>
  <c r="AL13" i="5"/>
  <c r="Z13" i="5" s="1"/>
  <c r="AL14" i="5"/>
  <c r="Z14" i="5" s="1"/>
  <c r="AL6" i="5"/>
  <c r="Z6" i="5" s="1"/>
  <c r="AK7" i="5"/>
  <c r="T7" i="5" s="1"/>
  <c r="AK8" i="5"/>
  <c r="T8" i="5" s="1"/>
  <c r="W8" i="5" s="1"/>
  <c r="AK9" i="5"/>
  <c r="T9" i="5" s="1"/>
  <c r="X9" i="5" s="1"/>
  <c r="AK10" i="5"/>
  <c r="T10" i="5" s="1"/>
  <c r="AK11" i="5"/>
  <c r="T11" i="5" s="1"/>
  <c r="X11" i="5" s="1"/>
  <c r="AJ7" i="5"/>
  <c r="N7" i="5" s="1"/>
  <c r="AJ8" i="5"/>
  <c r="N8" i="5" s="1"/>
  <c r="Q8" i="5" s="1"/>
  <c r="AJ9" i="5"/>
  <c r="N9" i="5" s="1"/>
  <c r="R9" i="5" s="1"/>
  <c r="AJ10" i="5"/>
  <c r="N10" i="5" s="1"/>
  <c r="AJ11" i="5"/>
  <c r="N11" i="5" s="1"/>
  <c r="R11" i="5" s="1"/>
  <c r="AJ12" i="5"/>
  <c r="N12" i="5" s="1"/>
  <c r="Q12" i="5" s="1"/>
  <c r="AJ13" i="5"/>
  <c r="N13" i="5" s="1"/>
  <c r="R13" i="5" s="1"/>
  <c r="AJ14" i="5"/>
  <c r="N14" i="5" s="1"/>
  <c r="AJ15" i="5"/>
  <c r="N15" i="5" s="1"/>
  <c r="R15" i="5" s="1"/>
  <c r="AJ16" i="5"/>
  <c r="N16" i="5" s="1"/>
  <c r="Q16" i="5" s="1"/>
  <c r="AJ17" i="5"/>
  <c r="N17" i="5" s="1"/>
  <c r="Q17" i="5" s="1"/>
  <c r="AJ18" i="5"/>
  <c r="N18" i="5" s="1"/>
  <c r="AI7" i="5"/>
  <c r="H7" i="5" s="1"/>
  <c r="L7" i="5" s="1"/>
  <c r="AI8" i="5"/>
  <c r="H8" i="5" s="1"/>
  <c r="K8" i="5" s="1"/>
  <c r="AI9" i="5"/>
  <c r="H9" i="5" s="1"/>
  <c r="L9" i="5" s="1"/>
  <c r="AI10" i="5"/>
  <c r="H10" i="5" s="1"/>
  <c r="AI11" i="5"/>
  <c r="H11" i="5" s="1"/>
  <c r="AI12" i="5"/>
  <c r="H12" i="5" s="1"/>
  <c r="AI13" i="5"/>
  <c r="H13" i="5" s="1"/>
  <c r="L13" i="5" s="1"/>
  <c r="AI14" i="5"/>
  <c r="H14" i="5" s="1"/>
  <c r="K14" i="5" s="1"/>
  <c r="AI15" i="5"/>
  <c r="H15" i="5" s="1"/>
  <c r="L15" i="5" s="1"/>
  <c r="AI16" i="5"/>
  <c r="H16" i="5" s="1"/>
  <c r="AI17" i="5"/>
  <c r="H17" i="5" s="1"/>
  <c r="K17" i="5" s="1"/>
  <c r="AI18" i="5"/>
  <c r="H18" i="5" s="1"/>
  <c r="AH7" i="5"/>
  <c r="B7" i="5" s="1"/>
  <c r="E7" i="5" s="1"/>
  <c r="AH8" i="5"/>
  <c r="AH9" i="5"/>
  <c r="B9" i="5" s="1"/>
  <c r="F9" i="5" s="1"/>
  <c r="AH10" i="5"/>
  <c r="B10" i="5" s="1"/>
  <c r="AH11" i="5"/>
  <c r="B11" i="5" s="1"/>
  <c r="F11" i="5" s="1"/>
  <c r="AH12" i="5"/>
  <c r="B12" i="5" s="1"/>
  <c r="E12" i="5" s="1"/>
  <c r="AH13" i="5"/>
  <c r="B13" i="5" s="1"/>
  <c r="F13" i="5" s="1"/>
  <c r="AH14" i="5"/>
  <c r="B14" i="5" s="1"/>
  <c r="AH15" i="5"/>
  <c r="B15" i="5" s="1"/>
  <c r="AH16" i="5"/>
  <c r="AH17" i="5"/>
  <c r="B17" i="5" s="1"/>
  <c r="E17" i="5" s="1"/>
  <c r="AH18" i="5"/>
  <c r="B18" i="5" s="1"/>
  <c r="N6" i="4"/>
  <c r="R6" i="4" s="1"/>
  <c r="N7" i="4"/>
  <c r="Q7" i="4" s="1"/>
  <c r="N12" i="4"/>
  <c r="Q12" i="4" s="1"/>
  <c r="N13" i="4"/>
  <c r="R13" i="4" s="1"/>
  <c r="N14" i="4"/>
  <c r="Q14" i="4" s="1"/>
  <c r="N15" i="4"/>
  <c r="R15" i="4" s="1"/>
  <c r="N16" i="4"/>
  <c r="R16" i="4" s="1"/>
  <c r="N17" i="4"/>
  <c r="R17" i="4" s="1"/>
  <c r="N18" i="4"/>
  <c r="R18" i="4" s="1"/>
  <c r="N19" i="4"/>
  <c r="R19" i="4" s="1"/>
  <c r="N20" i="4"/>
  <c r="R20" i="4" s="1"/>
  <c r="N21" i="4"/>
  <c r="R21" i="4" s="1"/>
  <c r="N22" i="4"/>
  <c r="Q22" i="4" s="1"/>
  <c r="N5" i="4"/>
  <c r="Q5" i="4" s="1"/>
  <c r="H6" i="4"/>
  <c r="L6" i="4" s="1"/>
  <c r="H7" i="4"/>
  <c r="K7" i="4" s="1"/>
  <c r="H12" i="4"/>
  <c r="L12" i="4" s="1"/>
  <c r="L13" i="4"/>
  <c r="H14" i="4"/>
  <c r="K14" i="4" s="1"/>
  <c r="H15" i="4"/>
  <c r="L15" i="4" s="1"/>
  <c r="H16" i="4"/>
  <c r="L16" i="4" s="1"/>
  <c r="H17" i="4"/>
  <c r="H18" i="4"/>
  <c r="L18" i="4" s="1"/>
  <c r="H19" i="4"/>
  <c r="L19" i="4" s="1"/>
  <c r="H20" i="4"/>
  <c r="L20" i="4" s="1"/>
  <c r="H21" i="4"/>
  <c r="H22" i="4"/>
  <c r="K22" i="4" s="1"/>
  <c r="H5" i="4"/>
  <c r="K5" i="4" s="1"/>
  <c r="B22" i="4"/>
  <c r="E22" i="4" s="1"/>
  <c r="B7" i="4"/>
  <c r="B12" i="4"/>
  <c r="E12" i="4" s="1"/>
  <c r="B13" i="4"/>
  <c r="F13" i="4" s="1"/>
  <c r="B14" i="4"/>
  <c r="E14" i="4" s="1"/>
  <c r="B15" i="4"/>
  <c r="E15" i="4" s="1"/>
  <c r="B16" i="4"/>
  <c r="B17" i="4"/>
  <c r="B18" i="4"/>
  <c r="E18" i="4" s="1"/>
  <c r="B19" i="4"/>
  <c r="E19" i="4" s="1"/>
  <c r="B20" i="4"/>
  <c r="B21" i="4"/>
  <c r="B6" i="4"/>
  <c r="B5" i="4"/>
  <c r="AL15" i="5"/>
  <c r="Z15" i="5" s="1"/>
  <c r="AK12" i="5"/>
  <c r="T12" i="5" s="1"/>
  <c r="AJ19" i="5"/>
  <c r="AI19" i="5"/>
  <c r="H19" i="5" s="1"/>
  <c r="K19" i="5" s="1"/>
  <c r="AH19" i="5"/>
  <c r="B19" i="5" s="1"/>
  <c r="AL5" i="5"/>
  <c r="Z5" i="5" s="1"/>
  <c r="AK6" i="5"/>
  <c r="T6" i="5" s="1"/>
  <c r="W6" i="5" s="1"/>
  <c r="AK5" i="5"/>
  <c r="T5" i="5" s="1"/>
  <c r="AJ6" i="5"/>
  <c r="N6" i="5" s="1"/>
  <c r="AJ5" i="5"/>
  <c r="N5" i="5" s="1"/>
  <c r="AI6" i="5"/>
  <c r="H6" i="5" s="1"/>
  <c r="K6" i="5" s="1"/>
  <c r="AI5" i="5"/>
  <c r="H5" i="5" s="1"/>
  <c r="L5" i="5" s="1"/>
  <c r="AH6" i="5"/>
  <c r="B6" i="5" s="1"/>
  <c r="E6" i="5" s="1"/>
  <c r="AH5" i="5"/>
  <c r="B5" i="5" s="1"/>
  <c r="F5" i="5" s="1"/>
  <c r="S19" i="5"/>
  <c r="M19" i="5"/>
  <c r="G19" i="5"/>
  <c r="S18" i="5"/>
  <c r="M18" i="5"/>
  <c r="G18" i="5"/>
  <c r="S17" i="5"/>
  <c r="M17" i="5"/>
  <c r="G17" i="5"/>
  <c r="S16" i="5"/>
  <c r="M16" i="5"/>
  <c r="G16" i="5"/>
  <c r="AE15" i="5"/>
  <c r="S15" i="5"/>
  <c r="M15" i="5"/>
  <c r="G15" i="5"/>
  <c r="AE14" i="5"/>
  <c r="S14" i="5"/>
  <c r="M14" i="5"/>
  <c r="G14" i="5"/>
  <c r="AE13" i="5"/>
  <c r="S13" i="5"/>
  <c r="M13" i="5"/>
  <c r="G13" i="5"/>
  <c r="AE12" i="5"/>
  <c r="Y12" i="5"/>
  <c r="S12" i="5"/>
  <c r="M12" i="5"/>
  <c r="G12" i="5"/>
  <c r="AE11" i="5"/>
  <c r="Y11" i="5"/>
  <c r="S11" i="5"/>
  <c r="M11" i="5"/>
  <c r="G11" i="5"/>
  <c r="AE10" i="5"/>
  <c r="Y10" i="5"/>
  <c r="S10" i="5"/>
  <c r="M10" i="5"/>
  <c r="G10" i="5"/>
  <c r="AE9" i="5"/>
  <c r="Y9" i="5"/>
  <c r="S9" i="5"/>
  <c r="M9" i="5"/>
  <c r="G9" i="5"/>
  <c r="AE8" i="5"/>
  <c r="Y8" i="5"/>
  <c r="S8" i="5"/>
  <c r="M8" i="5"/>
  <c r="G8" i="5"/>
  <c r="AE7" i="5"/>
  <c r="Y7" i="5"/>
  <c r="S7" i="5"/>
  <c r="M7" i="5"/>
  <c r="G7" i="5"/>
  <c r="AE6" i="5"/>
  <c r="Y6" i="5"/>
  <c r="S6" i="5"/>
  <c r="M6" i="5"/>
  <c r="G6" i="5"/>
  <c r="AE5" i="5"/>
  <c r="Y5" i="5"/>
  <c r="S5" i="5"/>
  <c r="M5" i="5"/>
  <c r="G5" i="5"/>
  <c r="S18" i="4"/>
  <c r="S19" i="4"/>
  <c r="S20" i="4"/>
  <c r="M18" i="4"/>
  <c r="M19" i="4"/>
  <c r="G18" i="4"/>
  <c r="G19" i="4"/>
  <c r="G20" i="4"/>
  <c r="AK15" i="4"/>
  <c r="AK14" i="4"/>
  <c r="AK13" i="4"/>
  <c r="AK5" i="4"/>
  <c r="Y7" i="4"/>
  <c r="Y5" i="4"/>
  <c r="S21" i="4"/>
  <c r="S17" i="4"/>
  <c r="S15" i="4"/>
  <c r="M21" i="4"/>
  <c r="M15" i="4"/>
  <c r="M13" i="4"/>
  <c r="M6" i="4"/>
  <c r="G6" i="4"/>
  <c r="G7" i="4"/>
  <c r="G12" i="4"/>
  <c r="G16" i="4"/>
  <c r="G17" i="4"/>
  <c r="G21" i="4"/>
  <c r="G22" i="4"/>
  <c r="G14" i="4"/>
  <c r="S22" i="4"/>
  <c r="M22" i="4"/>
  <c r="M20" i="4"/>
  <c r="M17" i="4"/>
  <c r="S16" i="4"/>
  <c r="M16" i="4"/>
  <c r="S14" i="4"/>
  <c r="M14" i="4"/>
  <c r="S13" i="4"/>
  <c r="G13" i="4"/>
  <c r="S12" i="4"/>
  <c r="M12" i="4"/>
  <c r="AK7" i="4"/>
  <c r="S7" i="4"/>
  <c r="M7" i="4"/>
  <c r="AK6" i="4"/>
  <c r="Y6" i="4"/>
  <c r="S6" i="4"/>
  <c r="S5" i="4"/>
  <c r="M5" i="4"/>
  <c r="K19" i="4" l="1"/>
  <c r="K10" i="4"/>
  <c r="E10" i="4"/>
  <c r="AI11" i="4"/>
  <c r="E11" i="4"/>
  <c r="Q11" i="4"/>
  <c r="AI10" i="4"/>
  <c r="W8" i="4"/>
  <c r="AI9" i="4"/>
  <c r="W11" i="4"/>
  <c r="Q10" i="4"/>
  <c r="K9" i="4"/>
  <c r="X18" i="4"/>
  <c r="E8" i="4"/>
  <c r="W10" i="4"/>
  <c r="Q9" i="4"/>
  <c r="K8" i="4"/>
  <c r="X14" i="4"/>
  <c r="E9" i="4"/>
  <c r="K11" i="4"/>
  <c r="W9" i="4"/>
  <c r="Q8" i="4"/>
  <c r="X12" i="4"/>
  <c r="X16" i="4"/>
  <c r="AC5" i="4"/>
  <c r="AC6" i="4"/>
  <c r="AC7" i="4"/>
  <c r="AC8" i="4"/>
  <c r="AC9" i="4"/>
  <c r="AC10" i="4"/>
  <c r="AC12" i="4"/>
  <c r="AD11" i="4"/>
  <c r="X17" i="4"/>
  <c r="X13" i="4"/>
  <c r="X15" i="4"/>
  <c r="Q19" i="4"/>
  <c r="Z8" i="5"/>
  <c r="AD8" i="5" s="1"/>
  <c r="Z11" i="5"/>
  <c r="AC11" i="5" s="1"/>
  <c r="Z7" i="5"/>
  <c r="AC7" i="5" s="1"/>
  <c r="Z12" i="5"/>
  <c r="AC12" i="5" s="1"/>
  <c r="X7" i="5"/>
  <c r="W7" i="5"/>
  <c r="K11" i="5"/>
  <c r="L11" i="5"/>
  <c r="AI5" i="4"/>
  <c r="AD5" i="5"/>
  <c r="W12" i="5"/>
  <c r="Q7" i="5"/>
  <c r="R7" i="5"/>
  <c r="Q18" i="4"/>
  <c r="N19" i="5"/>
  <c r="Q19" i="5" s="1"/>
  <c r="K16" i="5"/>
  <c r="K12" i="5"/>
  <c r="K18" i="5"/>
  <c r="E15" i="5"/>
  <c r="F15" i="5"/>
  <c r="B16" i="5"/>
  <c r="F16" i="5" s="1"/>
  <c r="B8" i="5"/>
  <c r="E8" i="5" s="1"/>
  <c r="E18" i="5"/>
  <c r="Q9" i="5"/>
  <c r="Q18" i="5"/>
  <c r="K13" i="5"/>
  <c r="K9" i="5"/>
  <c r="F7" i="5"/>
  <c r="E19" i="5"/>
  <c r="AD14" i="5"/>
  <c r="AC14" i="5"/>
  <c r="AC10" i="5"/>
  <c r="AD10" i="5"/>
  <c r="AD9" i="5"/>
  <c r="AC9" i="5"/>
  <c r="AC13" i="5"/>
  <c r="AD13" i="5"/>
  <c r="AC6" i="5"/>
  <c r="AD6" i="5"/>
  <c r="W10" i="5"/>
  <c r="X10" i="5"/>
  <c r="W11" i="5"/>
  <c r="W9" i="5"/>
  <c r="Q14" i="5"/>
  <c r="R14" i="5"/>
  <c r="Q10" i="5"/>
  <c r="R10" i="5"/>
  <c r="Q11" i="5"/>
  <c r="Q13" i="5"/>
  <c r="Q15" i="5"/>
  <c r="K10" i="5"/>
  <c r="L10" i="5"/>
  <c r="K7" i="5"/>
  <c r="L14" i="5"/>
  <c r="K15" i="5"/>
  <c r="E14" i="5"/>
  <c r="F14" i="5"/>
  <c r="E10" i="5"/>
  <c r="F10" i="5"/>
  <c r="E9" i="5"/>
  <c r="E13" i="5"/>
  <c r="E11" i="5"/>
  <c r="K18" i="4"/>
  <c r="AD15" i="5"/>
  <c r="AC15" i="5"/>
  <c r="X6" i="5"/>
  <c r="X5" i="5"/>
  <c r="W5" i="5"/>
  <c r="Q6" i="5"/>
  <c r="R6" i="5"/>
  <c r="Q5" i="5"/>
  <c r="R5" i="5"/>
  <c r="L6" i="5"/>
  <c r="K5" i="5"/>
  <c r="F6" i="5"/>
  <c r="E5" i="5"/>
  <c r="L8" i="5"/>
  <c r="R8" i="5"/>
  <c r="X8" i="5"/>
  <c r="F12" i="5"/>
  <c r="L12" i="5"/>
  <c r="R12" i="5"/>
  <c r="X12" i="5"/>
  <c r="L16" i="5"/>
  <c r="R16" i="5"/>
  <c r="F17" i="5"/>
  <c r="L17" i="5"/>
  <c r="R17" i="5"/>
  <c r="F18" i="5"/>
  <c r="L18" i="5"/>
  <c r="R18" i="5"/>
  <c r="F19" i="5"/>
  <c r="L19" i="5"/>
  <c r="Q20" i="4"/>
  <c r="F18" i="4"/>
  <c r="F19" i="4"/>
  <c r="AI6" i="4"/>
  <c r="AJ17" i="4"/>
  <c r="AI16" i="4"/>
  <c r="AI13" i="4"/>
  <c r="AI12" i="4"/>
  <c r="AI15" i="4"/>
  <c r="AI14" i="4"/>
  <c r="AI7" i="4"/>
  <c r="K12" i="4"/>
  <c r="F17" i="4"/>
  <c r="F16" i="4"/>
  <c r="F12" i="4"/>
  <c r="F5" i="4"/>
  <c r="F6" i="4"/>
  <c r="R7" i="4"/>
  <c r="X5" i="4"/>
  <c r="L14" i="4"/>
  <c r="L5" i="4"/>
  <c r="R5" i="4"/>
  <c r="X7" i="4"/>
  <c r="R12" i="4"/>
  <c r="F14" i="4"/>
  <c r="F15" i="4"/>
  <c r="L7" i="4"/>
  <c r="R14" i="4"/>
  <c r="F7" i="4"/>
  <c r="X6" i="4"/>
  <c r="AK12" i="4"/>
  <c r="AK16" i="4"/>
  <c r="AK17" i="4"/>
  <c r="W6" i="4"/>
  <c r="Q15" i="4"/>
  <c r="Q6" i="4"/>
  <c r="Q13" i="4"/>
  <c r="L21" i="4"/>
  <c r="K6" i="4"/>
  <c r="K13" i="4"/>
  <c r="K15" i="4"/>
  <c r="L17" i="4"/>
  <c r="G15" i="4"/>
  <c r="G5" i="4"/>
  <c r="F21" i="4"/>
  <c r="F20" i="4"/>
  <c r="E7" i="4"/>
  <c r="E6" i="4"/>
  <c r="E13" i="4"/>
  <c r="E5" i="4"/>
  <c r="E16" i="4"/>
  <c r="K16" i="4"/>
  <c r="Q16" i="4"/>
  <c r="E17" i="4"/>
  <c r="K17" i="4"/>
  <c r="Q17" i="4"/>
  <c r="E20" i="4"/>
  <c r="K20" i="4"/>
  <c r="E21" i="4"/>
  <c r="K21" i="4"/>
  <c r="Q21" i="4"/>
  <c r="F22" i="4"/>
  <c r="L22" i="4"/>
  <c r="R22" i="4"/>
  <c r="AD7" i="5" l="1"/>
  <c r="AC8" i="5"/>
  <c r="AD11" i="5"/>
  <c r="AD12" i="5"/>
  <c r="F8" i="5"/>
  <c r="AC5" i="5"/>
  <c r="I26" i="5"/>
  <c r="B27" i="5"/>
  <c r="R19" i="5"/>
  <c r="J27" i="5" s="1"/>
  <c r="E27" i="5"/>
  <c r="C27" i="5"/>
  <c r="E16" i="5"/>
  <c r="C26" i="5" s="1"/>
  <c r="G26" i="5"/>
  <c r="E26" i="5"/>
  <c r="D26" i="5"/>
  <c r="G28" i="5"/>
  <c r="D28" i="5"/>
  <c r="E28" i="5"/>
  <c r="D27" i="5"/>
  <c r="G27" i="5"/>
  <c r="I27" i="5"/>
  <c r="H27" i="5"/>
  <c r="H26" i="5"/>
  <c r="H28" i="5"/>
</calcChain>
</file>

<file path=xl/sharedStrings.xml><?xml version="1.0" encoding="utf-8"?>
<sst xmlns="http://schemas.openxmlformats.org/spreadsheetml/2006/main" count="139" uniqueCount="25">
  <si>
    <t>A</t>
  </si>
  <si>
    <t>B</t>
  </si>
  <si>
    <t>C</t>
  </si>
  <si>
    <t>D</t>
  </si>
  <si>
    <t>AS</t>
  </si>
  <si>
    <t>DL</t>
  </si>
  <si>
    <t>AS+</t>
  </si>
  <si>
    <t>factory</t>
  </si>
  <si>
    <t>LEFT</t>
  </si>
  <si>
    <t>RIGHT</t>
  </si>
  <si>
    <t>left</t>
  </si>
  <si>
    <t>right</t>
  </si>
  <si>
    <t>symet</t>
  </si>
  <si>
    <t>BRAKES</t>
  </si>
  <si>
    <t>OFFSET</t>
  </si>
  <si>
    <t>Stabilo</t>
  </si>
  <si>
    <t>Risers</t>
  </si>
  <si>
    <t>Brake</t>
  </si>
  <si>
    <t>Group average</t>
  </si>
  <si>
    <t>Setting loops on links</t>
  </si>
  <si>
    <t>L</t>
  </si>
  <si>
    <t>Second trim</t>
  </si>
  <si>
    <t>Serial Number :</t>
  </si>
  <si>
    <t>First trim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</si>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</sst>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8" fillId="0" borderId="0"/>
    <xf numFmtId="0" fontId="2" fillId="0" borderId="0">
      <alignment horizontal="center"/>
    </xf>
    <xf numFmtId="0" fontId="2" fillId="0" borderId="0">
      <alignment horizontal="left"/>
    </xf>
    <xf numFmtId="0" fontId="1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8" fillId="0" borderId="0"/>
    <xf numFmtId="0" fontId="2" fillId="0" borderId="0">
      <alignment horizontal="left"/>
    </xf>
    <xf numFmtId="0" fontId="11" fillId="0" borderId="0">
      <alignment horizontal="left"/>
    </xf>
    <xf numFmtId="0" fontId="9" fillId="0" borderId="0">
      <alignment horizontal="left"/>
    </xf>
  </cellStyleXfs>
  <cellXfs count="111"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4" fontId="7" fillId="0" borderId="0" xfId="2" applyNumberFormat="1" applyFont="1" applyAlignment="1">
      <alignment horizontal="center" vertical="center" wrapText="1"/>
    </xf>
    <xf numFmtId="1" fontId="0" fillId="0" borderId="13" xfId="0" applyNumberFormat="1" applyBorder="1" applyAlignment="1">
      <alignment horizontal="center" vertical="center"/>
    </xf>
    <xf numFmtId="164" fontId="7" fillId="0" borderId="7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7" fillId="0" borderId="8" xfId="2" applyNumberFormat="1" applyFont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3" borderId="11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" fontId="0" fillId="2" borderId="21" xfId="0" applyNumberFormat="1" applyFill="1" applyBorder="1" applyAlignment="1">
      <alignment horizontal="center" vertical="center"/>
    </xf>
    <xf numFmtId="1" fontId="0" fillId="2" borderId="22" xfId="0" applyNumberFormat="1" applyFill="1" applyBorder="1" applyAlignment="1">
      <alignment horizontal="center" vertical="center"/>
    </xf>
    <xf numFmtId="1" fontId="0" fillId="2" borderId="24" xfId="0" applyNumberFormat="1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1" fontId="0" fillId="3" borderId="16" xfId="0" applyNumberFormat="1" applyFill="1" applyBorder="1" applyAlignment="1">
      <alignment horizontal="center" vertical="center"/>
    </xf>
    <xf numFmtId="1" fontId="0" fillId="4" borderId="17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6" fillId="0" borderId="0" xfId="0" applyNumberFormat="1" applyFont="1" applyAlignment="1">
      <alignment vertical="center"/>
    </xf>
    <xf numFmtId="1" fontId="0" fillId="2" borderId="18" xfId="0" applyNumberFormat="1" applyFill="1" applyBorder="1" applyAlignment="1">
      <alignment horizontal="center" vertical="center"/>
    </xf>
    <xf numFmtId="1" fontId="0" fillId="3" borderId="19" xfId="0" applyNumberFormat="1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0" fontId="0" fillId="0" borderId="4" xfId="0" applyBorder="1"/>
    <xf numFmtId="1" fontId="7" fillId="0" borderId="6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5" fillId="0" borderId="27" xfId="0" applyNumberFormat="1" applyFont="1" applyBorder="1" applyAlignment="1">
      <alignment horizontal="center" vertical="center"/>
    </xf>
    <xf numFmtId="1" fontId="7" fillId="0" borderId="26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64" fontId="7" fillId="0" borderId="6" xfId="2" applyNumberFormat="1" applyFont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64" fontId="16" fillId="0" borderId="6" xfId="2" applyNumberFormat="1" applyFont="1" applyBorder="1" applyAlignment="1">
      <alignment horizontal="center" vertical="center" wrapText="1"/>
    </xf>
    <xf numFmtId="164" fontId="16" fillId="0" borderId="7" xfId="2" applyNumberFormat="1" applyFont="1" applyBorder="1" applyAlignment="1">
      <alignment horizontal="center" vertical="center" wrapText="1"/>
    </xf>
    <xf numFmtId="164" fontId="0" fillId="0" borderId="0" xfId="2" applyNumberFormat="1" applyFont="1" applyAlignment="1">
      <alignment horizontal="center" vertical="center" wrapText="1"/>
    </xf>
    <xf numFmtId="0" fontId="0" fillId="0" borderId="0" xfId="2" applyFont="1" applyAlignment="1">
      <alignment horizontal="center" vertical="center" wrapText="1"/>
    </xf>
    <xf numFmtId="164" fontId="16" fillId="0" borderId="8" xfId="2" applyNumberFormat="1" applyFont="1" applyBorder="1" applyAlignment="1">
      <alignment horizontal="center" vertical="center" wrapText="1"/>
    </xf>
    <xf numFmtId="164" fontId="16" fillId="0" borderId="9" xfId="2" applyNumberFormat="1" applyFont="1" applyBorder="1" applyAlignment="1">
      <alignment horizontal="center" vertical="center" wrapText="1"/>
    </xf>
    <xf numFmtId="164" fontId="16" fillId="0" borderId="14" xfId="2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 wrapText="1"/>
    </xf>
    <xf numFmtId="1" fontId="0" fillId="0" borderId="20" xfId="0" applyNumberFormat="1" applyBorder="1" applyAlignment="1">
      <alignment horizontal="center" vertical="center" wrapText="1"/>
    </xf>
    <xf numFmtId="164" fontId="0" fillId="0" borderId="19" xfId="2" applyNumberFormat="1" applyFont="1" applyBorder="1" applyAlignment="1">
      <alignment horizontal="center" vertical="center" wrapText="1"/>
    </xf>
    <xf numFmtId="164" fontId="0" fillId="0" borderId="20" xfId="2" applyNumberFormat="1" applyFont="1" applyBorder="1" applyAlignment="1">
      <alignment horizontal="center" vertical="center" wrapText="1"/>
    </xf>
    <xf numFmtId="1" fontId="7" fillId="0" borderId="7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7" fillId="0" borderId="29" xfId="1" applyNumberFormat="1" applyFont="1" applyBorder="1" applyAlignment="1">
      <alignment horizontal="center" vertical="center"/>
    </xf>
    <xf numFmtId="1" fontId="7" fillId="0" borderId="30" xfId="1" applyNumberFormat="1" applyFont="1" applyBorder="1" applyAlignment="1">
      <alignment horizontal="center" vertical="center"/>
    </xf>
    <xf numFmtId="0" fontId="0" fillId="0" borderId="1" xfId="0" applyBorder="1"/>
    <xf numFmtId="1" fontId="0" fillId="0" borderId="4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4" fontId="16" fillId="0" borderId="1" xfId="2" applyNumberFormat="1" applyFont="1" applyBorder="1" applyAlignment="1">
      <alignment horizontal="center" vertical="center" wrapText="1"/>
    </xf>
    <xf numFmtId="164" fontId="0" fillId="0" borderId="4" xfId="2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" fontId="7" fillId="0" borderId="6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7" fillId="0" borderId="2" xfId="1" applyNumberFormat="1" applyFont="1" applyBorder="1" applyAlignment="1">
      <alignment horizontal="center" vertical="center"/>
    </xf>
    <xf numFmtId="1" fontId="7" fillId="0" borderId="9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" fontId="7" fillId="0" borderId="10" xfId="1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1" fontId="1" fillId="0" borderId="32" xfId="0" applyNumberFormat="1" applyFon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" fontId="0" fillId="5" borderId="33" xfId="0" applyNumberFormat="1" applyFill="1" applyBorder="1" applyAlignment="1">
      <alignment horizontal="center" vertical="center"/>
    </xf>
    <xf numFmtId="1" fontId="0" fillId="5" borderId="34" xfId="0" applyNumberFormat="1" applyFill="1" applyBorder="1" applyAlignment="1">
      <alignment horizontal="center" vertic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24</xdr:row>
      <xdr:rowOff>116417</xdr:rowOff>
    </xdr:from>
    <xdr:to>
      <xdr:col>21</xdr:col>
      <xdr:colOff>264583</xdr:colOff>
      <xdr:row>57</xdr:row>
      <xdr:rowOff>139920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AC0C96-C669-4CAA-9870-F4C64261A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583" y="5185834"/>
          <a:ext cx="9334500" cy="64899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4054F-8E2B-4666-A9DB-6746CC1F7730}">
  <dimension ref="A1:AX158"/>
  <sheetViews>
    <sheetView tabSelected="1" zoomScale="90" zoomScaleNormal="90" workbookViewId="0">
      <selection activeCell="AI34" sqref="AI34"/>
    </sheetView>
  </sheetViews>
  <sheetFormatPr defaultColWidth="9.140625" defaultRowHeight="15" x14ac:dyDescent="0.25"/>
  <cols>
    <col min="1" max="2" width="6.7109375" style="16" customWidth="1"/>
    <col min="3" max="3" width="6.7109375" style="17" customWidth="1"/>
    <col min="4" max="4" width="6.7109375" style="16" customWidth="1"/>
    <col min="5" max="5" width="6.7109375" style="17" customWidth="1"/>
    <col min="6" max="8" width="6.7109375" style="16" customWidth="1"/>
    <col min="9" max="9" width="6.7109375" style="17" customWidth="1"/>
    <col min="10" max="10" width="6.7109375" style="16" customWidth="1"/>
    <col min="11" max="11" width="6.7109375" style="17" customWidth="1"/>
    <col min="12" max="14" width="6.7109375" style="16" customWidth="1"/>
    <col min="15" max="15" width="6.7109375" style="17" customWidth="1"/>
    <col min="16" max="16" width="6.7109375" style="16" customWidth="1"/>
    <col min="17" max="17" width="6.7109375" style="17" customWidth="1"/>
    <col min="18" max="44" width="6.7109375" style="16" customWidth="1"/>
    <col min="45" max="16384" width="9.140625" style="16"/>
  </cols>
  <sheetData>
    <row r="1" spans="1:47" ht="39.950000000000003" customHeight="1" x14ac:dyDescent="0.25">
      <c r="A1" s="84" t="s">
        <v>22</v>
      </c>
      <c r="B1" s="84"/>
      <c r="C1" s="84"/>
      <c r="D1" s="84"/>
      <c r="E1" s="84"/>
      <c r="F1" s="85"/>
      <c r="G1" s="85"/>
      <c r="H1" s="85"/>
      <c r="I1" s="85"/>
      <c r="J1" s="85"/>
      <c r="K1" s="85"/>
      <c r="L1" s="85"/>
      <c r="M1" s="85"/>
      <c r="N1" s="86" t="s">
        <v>23</v>
      </c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</row>
    <row r="2" spans="1:47" ht="15.75" thickBot="1" x14ac:dyDescent="0.3">
      <c r="A2" s="6"/>
      <c r="B2" s="6"/>
      <c r="C2" s="2"/>
      <c r="D2" s="1"/>
      <c r="E2" s="2"/>
      <c r="F2" s="1"/>
      <c r="G2" s="20"/>
      <c r="H2" s="6"/>
      <c r="I2" s="2"/>
      <c r="J2" s="1"/>
      <c r="K2" s="2"/>
      <c r="L2" s="1"/>
      <c r="M2" s="20"/>
      <c r="N2" s="6"/>
      <c r="O2" s="2"/>
      <c r="P2" s="1"/>
      <c r="Q2" s="2"/>
      <c r="R2" s="1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6"/>
      <c r="AH2" s="6"/>
      <c r="AI2" s="6"/>
      <c r="AJ2" s="6"/>
      <c r="AK2" s="6"/>
      <c r="AL2" s="6"/>
    </row>
    <row r="3" spans="1:47" ht="15.75" thickBot="1" x14ac:dyDescent="0.3">
      <c r="A3" s="12"/>
      <c r="B3" s="87" t="s">
        <v>0</v>
      </c>
      <c r="C3" s="88"/>
      <c r="D3" s="88"/>
      <c r="E3" s="88"/>
      <c r="F3" s="88"/>
      <c r="G3" s="89"/>
      <c r="H3" s="87" t="s">
        <v>1</v>
      </c>
      <c r="I3" s="88"/>
      <c r="J3" s="88"/>
      <c r="K3" s="88"/>
      <c r="L3" s="88"/>
      <c r="M3" s="89"/>
      <c r="N3" s="87" t="s">
        <v>2</v>
      </c>
      <c r="O3" s="88"/>
      <c r="P3" s="88"/>
      <c r="Q3" s="88"/>
      <c r="R3" s="88"/>
      <c r="S3" s="89"/>
      <c r="T3" s="87" t="s">
        <v>3</v>
      </c>
      <c r="U3" s="88"/>
      <c r="V3" s="88"/>
      <c r="W3" s="88"/>
      <c r="X3" s="88"/>
      <c r="Y3" s="89"/>
      <c r="Z3" s="87" t="s">
        <v>24</v>
      </c>
      <c r="AA3" s="88"/>
      <c r="AB3" s="88"/>
      <c r="AC3" s="88"/>
      <c r="AD3" s="88"/>
      <c r="AE3" s="89"/>
      <c r="AF3" s="90" t="s">
        <v>13</v>
      </c>
      <c r="AG3" s="91"/>
      <c r="AH3" s="91"/>
      <c r="AI3" s="91"/>
      <c r="AJ3" s="91"/>
      <c r="AK3" s="92"/>
      <c r="AM3" s="6"/>
      <c r="AN3" s="13"/>
      <c r="AO3" s="13"/>
      <c r="AP3" s="13"/>
      <c r="AQ3" s="13"/>
      <c r="AR3" s="13"/>
    </row>
    <row r="4" spans="1:47" ht="16.5" thickBot="1" x14ac:dyDescent="0.3">
      <c r="A4" s="14"/>
      <c r="B4" s="50" t="s">
        <v>7</v>
      </c>
      <c r="C4" s="49" t="s">
        <v>8</v>
      </c>
      <c r="D4" s="51" t="s">
        <v>9</v>
      </c>
      <c r="E4" s="49" t="s">
        <v>10</v>
      </c>
      <c r="F4" s="51" t="s">
        <v>11</v>
      </c>
      <c r="G4" s="52" t="s">
        <v>12</v>
      </c>
      <c r="H4" s="50" t="s">
        <v>7</v>
      </c>
      <c r="I4" s="49" t="s">
        <v>8</v>
      </c>
      <c r="J4" s="51" t="s">
        <v>9</v>
      </c>
      <c r="K4" s="49" t="s">
        <v>10</v>
      </c>
      <c r="L4" s="51" t="s">
        <v>11</v>
      </c>
      <c r="M4" s="52" t="s">
        <v>12</v>
      </c>
      <c r="N4" s="50" t="s">
        <v>7</v>
      </c>
      <c r="O4" s="49" t="s">
        <v>8</v>
      </c>
      <c r="P4" s="51" t="s">
        <v>9</v>
      </c>
      <c r="Q4" s="49" t="s">
        <v>10</v>
      </c>
      <c r="R4" s="51" t="s">
        <v>11</v>
      </c>
      <c r="S4" s="52" t="s">
        <v>12</v>
      </c>
      <c r="T4" s="50" t="s">
        <v>7</v>
      </c>
      <c r="U4" s="49" t="s">
        <v>8</v>
      </c>
      <c r="V4" s="51" t="s">
        <v>9</v>
      </c>
      <c r="W4" s="49" t="s">
        <v>10</v>
      </c>
      <c r="X4" s="51" t="s">
        <v>11</v>
      </c>
      <c r="Y4" s="52" t="s">
        <v>12</v>
      </c>
      <c r="Z4" s="50" t="s">
        <v>7</v>
      </c>
      <c r="AA4" s="49" t="s">
        <v>8</v>
      </c>
      <c r="AB4" s="51" t="s">
        <v>9</v>
      </c>
      <c r="AC4" s="49" t="s">
        <v>10</v>
      </c>
      <c r="AD4" s="51" t="s">
        <v>11</v>
      </c>
      <c r="AE4" s="52" t="s">
        <v>12</v>
      </c>
      <c r="AF4" s="50" t="s">
        <v>7</v>
      </c>
      <c r="AG4" s="49" t="s">
        <v>8</v>
      </c>
      <c r="AH4" s="51" t="s">
        <v>9</v>
      </c>
      <c r="AI4" s="49" t="s">
        <v>10</v>
      </c>
      <c r="AJ4" s="51" t="s">
        <v>11</v>
      </c>
      <c r="AK4" s="52" t="s">
        <v>12</v>
      </c>
      <c r="AM4" s="56"/>
      <c r="AN4" s="61" t="s">
        <v>0</v>
      </c>
      <c r="AO4" s="62" t="s">
        <v>1</v>
      </c>
      <c r="AP4" s="62" t="s">
        <v>2</v>
      </c>
      <c r="AQ4" s="79" t="s">
        <v>3</v>
      </c>
      <c r="AR4" s="62" t="s">
        <v>24</v>
      </c>
      <c r="AS4" s="81" t="s">
        <v>17</v>
      </c>
    </row>
    <row r="5" spans="1:47" ht="15.75" x14ac:dyDescent="0.25">
      <c r="A5" s="73">
        <v>1</v>
      </c>
      <c r="B5" s="53">
        <f t="shared" ref="B5:B22" si="0">AN5+$AB$25</f>
        <v>8693.4</v>
      </c>
      <c r="C5" s="54"/>
      <c r="D5" s="54"/>
      <c r="E5" s="47">
        <f>C5-B5</f>
        <v>-8693.4</v>
      </c>
      <c r="F5" s="48">
        <f>D5-B5</f>
        <v>-8693.4</v>
      </c>
      <c r="G5" s="8">
        <f>C5-D5</f>
        <v>0</v>
      </c>
      <c r="H5" s="53">
        <f t="shared" ref="H5:H22" si="1">AO5+$AB$25</f>
        <v>8595.4</v>
      </c>
      <c r="I5" s="54"/>
      <c r="J5" s="54"/>
      <c r="K5" s="47">
        <f>I5-H5</f>
        <v>-8595.4</v>
      </c>
      <c r="L5" s="48">
        <f>J5-H5</f>
        <v>-8595.4</v>
      </c>
      <c r="M5" s="8">
        <f>I5-J5</f>
        <v>0</v>
      </c>
      <c r="N5" s="53">
        <f t="shared" ref="N5:N22" si="2">AP5+$AB$25</f>
        <v>8618.5</v>
      </c>
      <c r="O5" s="54"/>
      <c r="P5" s="54"/>
      <c r="Q5" s="47">
        <f>O5-N5</f>
        <v>-8618.5</v>
      </c>
      <c r="R5" s="48">
        <f>P5-N5</f>
        <v>-8618.5</v>
      </c>
      <c r="S5" s="7">
        <f>O5-P5</f>
        <v>0</v>
      </c>
      <c r="T5" s="46">
        <f t="shared" ref="T5:T18" si="3">AQ5+$AB$25</f>
        <v>8800.2999999999993</v>
      </c>
      <c r="U5" s="54"/>
      <c r="V5" s="54"/>
      <c r="W5" s="47">
        <f>U5-T5</f>
        <v>-8800.2999999999993</v>
      </c>
      <c r="X5" s="48">
        <f>V5-T5</f>
        <v>-8800.2999999999993</v>
      </c>
      <c r="Y5" s="8">
        <f>U5-V5</f>
        <v>0</v>
      </c>
      <c r="Z5" s="46">
        <f t="shared" ref="Z5:Z12" si="4">AR5+$AB$25</f>
        <v>8919.7000000000007</v>
      </c>
      <c r="AA5" s="54"/>
      <c r="AB5" s="54"/>
      <c r="AC5" s="47">
        <f>AA5-Z5</f>
        <v>-8919.7000000000007</v>
      </c>
      <c r="AD5" s="48">
        <f>AB5-Z5</f>
        <v>-8919.7000000000007</v>
      </c>
      <c r="AE5" s="7">
        <f>AA5-AB5</f>
        <v>0</v>
      </c>
      <c r="AF5" s="46">
        <f>AS5+$AB$26</f>
        <v>9375.9</v>
      </c>
      <c r="AG5" s="54"/>
      <c r="AH5" s="54"/>
      <c r="AI5" s="47">
        <f t="shared" ref="AI5:AI17" si="5">(AG5-AF5)+$AB$26</f>
        <v>-9375.9</v>
      </c>
      <c r="AJ5" s="47">
        <f t="shared" ref="AJ5:AJ17" si="6">(AH5-AF5)+$AB$26</f>
        <v>-9375.9</v>
      </c>
      <c r="AK5" s="8">
        <f>AG5-AH5</f>
        <v>0</v>
      </c>
      <c r="AM5" s="56">
        <v>1</v>
      </c>
      <c r="AN5" s="64">
        <v>8693.4</v>
      </c>
      <c r="AO5" s="65">
        <v>8595.4</v>
      </c>
      <c r="AP5" s="78">
        <v>8618.5</v>
      </c>
      <c r="AQ5" s="64">
        <v>8800.2999999999993</v>
      </c>
      <c r="AR5" s="7">
        <v>8919.7000000000007</v>
      </c>
      <c r="AS5" s="64">
        <v>9375.9</v>
      </c>
    </row>
    <row r="6" spans="1:47" ht="15.75" x14ac:dyDescent="0.25">
      <c r="A6" s="73">
        <v>2</v>
      </c>
      <c r="B6" s="15">
        <f t="shared" si="0"/>
        <v>8611.7000000000007</v>
      </c>
      <c r="C6" s="72"/>
      <c r="D6" s="72"/>
      <c r="E6" s="2">
        <f t="shared" ref="E6:E22" si="7">C6-B6</f>
        <v>-8611.7000000000007</v>
      </c>
      <c r="F6" s="1">
        <f t="shared" ref="F6:F22" si="8">D6-B6</f>
        <v>-8611.7000000000007</v>
      </c>
      <c r="G6" s="9">
        <f t="shared" ref="G6:G22" si="9">C6-D6</f>
        <v>0</v>
      </c>
      <c r="H6" s="15">
        <f t="shared" si="1"/>
        <v>8517.1</v>
      </c>
      <c r="I6" s="72"/>
      <c r="J6" s="72"/>
      <c r="K6" s="2">
        <f t="shared" ref="K6:K22" si="10">I6-H6</f>
        <v>-8517.1</v>
      </c>
      <c r="L6" s="1">
        <f t="shared" ref="L6:L22" si="11">J6-H6</f>
        <v>-8517.1</v>
      </c>
      <c r="M6" s="9">
        <f t="shared" ref="M6:M22" si="12">I6-J6</f>
        <v>0</v>
      </c>
      <c r="N6" s="15">
        <f t="shared" si="2"/>
        <v>8540.6</v>
      </c>
      <c r="O6" s="72"/>
      <c r="P6" s="72"/>
      <c r="Q6" s="2">
        <f t="shared" ref="Q6:Q22" si="13">O6-N6</f>
        <v>-8540.6</v>
      </c>
      <c r="R6" s="1">
        <f t="shared" ref="R6:R12" si="14">P6-N6</f>
        <v>-8540.6</v>
      </c>
      <c r="S6" s="6">
        <f t="shared" ref="S6:S12" si="15">O6-P6</f>
        <v>0</v>
      </c>
      <c r="T6" s="70">
        <f t="shared" si="3"/>
        <v>8711.9</v>
      </c>
      <c r="U6" s="72"/>
      <c r="V6" s="72"/>
      <c r="W6" s="2">
        <f t="shared" ref="W6:W7" si="16">U6-T6</f>
        <v>-8711.9</v>
      </c>
      <c r="X6" s="1">
        <f t="shared" ref="X6:X7" si="17">V6-T6</f>
        <v>-8711.9</v>
      </c>
      <c r="Y6" s="9">
        <f t="shared" ref="Y6:Y7" si="18">U6-V6</f>
        <v>0</v>
      </c>
      <c r="Z6" s="70">
        <f t="shared" si="4"/>
        <v>8792.2999999999993</v>
      </c>
      <c r="AA6" s="72"/>
      <c r="AB6" s="72"/>
      <c r="AC6" s="2">
        <f t="shared" ref="AC6:AC12" si="19">AA6-Z6</f>
        <v>-8792.2999999999993</v>
      </c>
      <c r="AD6" s="1">
        <f t="shared" ref="AD6:AD12" si="20">AB6-Z6</f>
        <v>-8792.2999999999993</v>
      </c>
      <c r="AE6" s="6">
        <f t="shared" ref="AE6:AE12" si="21">AA6-AB6</f>
        <v>0</v>
      </c>
      <c r="AF6" s="70">
        <f>AS6+$AB$26</f>
        <v>9084.9</v>
      </c>
      <c r="AG6" s="72"/>
      <c r="AH6" s="72"/>
      <c r="AI6" s="2">
        <f t="shared" si="5"/>
        <v>-9084.9</v>
      </c>
      <c r="AJ6" s="2">
        <f t="shared" si="6"/>
        <v>-9084.9</v>
      </c>
      <c r="AK6" s="9">
        <f t="shared" ref="AK6:AK17" si="22">AG6-AH6</f>
        <v>0</v>
      </c>
      <c r="AM6" s="57">
        <v>2</v>
      </c>
      <c r="AN6" s="27">
        <v>8611.7000000000007</v>
      </c>
      <c r="AO6" s="66">
        <v>8517.1</v>
      </c>
      <c r="AP6" s="77">
        <v>8540.6</v>
      </c>
      <c r="AQ6" s="27">
        <v>8711.9</v>
      </c>
      <c r="AR6" s="6">
        <v>8792.2999999999993</v>
      </c>
      <c r="AS6" s="27">
        <v>9084.9</v>
      </c>
    </row>
    <row r="7" spans="1:47" ht="15.75" x14ac:dyDescent="0.25">
      <c r="A7" s="73">
        <v>3</v>
      </c>
      <c r="B7" s="15">
        <f t="shared" si="0"/>
        <v>8592.2000000000007</v>
      </c>
      <c r="C7" s="72"/>
      <c r="D7" s="72"/>
      <c r="E7" s="2">
        <f t="shared" si="7"/>
        <v>-8592.2000000000007</v>
      </c>
      <c r="F7" s="1">
        <f t="shared" si="8"/>
        <v>-8592.2000000000007</v>
      </c>
      <c r="G7" s="9">
        <f t="shared" si="9"/>
        <v>0</v>
      </c>
      <c r="H7" s="15">
        <f t="shared" si="1"/>
        <v>8495.7999999999993</v>
      </c>
      <c r="I7" s="72"/>
      <c r="J7" s="72"/>
      <c r="K7" s="2">
        <f t="shared" si="10"/>
        <v>-8495.7999999999993</v>
      </c>
      <c r="L7" s="1">
        <f t="shared" si="11"/>
        <v>-8495.7999999999993</v>
      </c>
      <c r="M7" s="9">
        <f t="shared" si="12"/>
        <v>0</v>
      </c>
      <c r="N7" s="15">
        <f t="shared" si="2"/>
        <v>8517.6</v>
      </c>
      <c r="O7" s="72"/>
      <c r="P7" s="72"/>
      <c r="Q7" s="2">
        <f t="shared" si="13"/>
        <v>-8517.6</v>
      </c>
      <c r="R7" s="1">
        <f t="shared" si="14"/>
        <v>-8517.6</v>
      </c>
      <c r="S7" s="6">
        <f t="shared" si="15"/>
        <v>0</v>
      </c>
      <c r="T7" s="70">
        <f t="shared" si="3"/>
        <v>8672.2000000000007</v>
      </c>
      <c r="U7" s="72"/>
      <c r="V7" s="72"/>
      <c r="W7" s="2">
        <f t="shared" si="16"/>
        <v>-8672.2000000000007</v>
      </c>
      <c r="X7" s="1">
        <f t="shared" si="17"/>
        <v>-8672.2000000000007</v>
      </c>
      <c r="Y7" s="9">
        <f t="shared" si="18"/>
        <v>0</v>
      </c>
      <c r="Z7" s="70">
        <f t="shared" si="4"/>
        <v>8755.4</v>
      </c>
      <c r="AA7" s="72"/>
      <c r="AB7" s="72"/>
      <c r="AC7" s="2">
        <f t="shared" si="19"/>
        <v>-8755.4</v>
      </c>
      <c r="AD7" s="1">
        <f t="shared" si="20"/>
        <v>-8755.4</v>
      </c>
      <c r="AE7" s="6">
        <f t="shared" si="21"/>
        <v>0</v>
      </c>
      <c r="AF7" s="70">
        <f t="shared" ref="AF7:AF17" si="23">AS7+$AB$26</f>
        <v>8909.2000000000007</v>
      </c>
      <c r="AG7" s="72"/>
      <c r="AH7" s="72"/>
      <c r="AI7" s="2">
        <f t="shared" si="5"/>
        <v>-8909.2000000000007</v>
      </c>
      <c r="AJ7" s="2">
        <f t="shared" si="6"/>
        <v>-8909.2000000000007</v>
      </c>
      <c r="AK7" s="9">
        <f t="shared" si="22"/>
        <v>0</v>
      </c>
      <c r="AL7" s="22"/>
      <c r="AM7" s="57">
        <v>3</v>
      </c>
      <c r="AN7" s="27">
        <v>8592.2000000000007</v>
      </c>
      <c r="AO7" s="66">
        <v>8495.7999999999993</v>
      </c>
      <c r="AP7" s="77">
        <v>8517.6</v>
      </c>
      <c r="AQ7" s="27">
        <v>8672.2000000000007</v>
      </c>
      <c r="AR7" s="6">
        <v>8755.4</v>
      </c>
      <c r="AS7" s="27">
        <v>8909.2000000000007</v>
      </c>
      <c r="AT7" s="22"/>
      <c r="AU7" s="23"/>
    </row>
    <row r="8" spans="1:47" ht="15.75" x14ac:dyDescent="0.25">
      <c r="A8" s="73">
        <v>4</v>
      </c>
      <c r="B8" s="15">
        <f t="shared" si="0"/>
        <v>8573.5</v>
      </c>
      <c r="C8" s="72"/>
      <c r="D8" s="72"/>
      <c r="E8" s="2">
        <f t="shared" ref="E8:E11" si="24">C8-B8</f>
        <v>-8573.5</v>
      </c>
      <c r="F8" s="1">
        <f t="shared" ref="F8:F11" si="25">D8-B8</f>
        <v>-8573.5</v>
      </c>
      <c r="G8" s="9">
        <f t="shared" ref="G8:G11" si="26">C8-D8</f>
        <v>0</v>
      </c>
      <c r="H8" s="15">
        <f t="shared" si="1"/>
        <v>8476.2000000000007</v>
      </c>
      <c r="I8" s="72"/>
      <c r="J8" s="72"/>
      <c r="K8" s="2">
        <f t="shared" ref="K8:K11" si="27">I8-H8</f>
        <v>-8476.2000000000007</v>
      </c>
      <c r="L8" s="1">
        <f t="shared" ref="L8:L11" si="28">J8-H8</f>
        <v>-8476.2000000000007</v>
      </c>
      <c r="M8" s="9">
        <f t="shared" ref="M8:M11" si="29">I8-J8</f>
        <v>0</v>
      </c>
      <c r="N8" s="15">
        <f t="shared" si="2"/>
        <v>8504.7999999999993</v>
      </c>
      <c r="O8" s="72"/>
      <c r="P8" s="72"/>
      <c r="Q8" s="2">
        <f t="shared" ref="Q8:Q11" si="30">O8-N8</f>
        <v>-8504.7999999999993</v>
      </c>
      <c r="R8" s="1">
        <f t="shared" ref="R8:R11" si="31">P8-N8</f>
        <v>-8504.7999999999993</v>
      </c>
      <c r="S8" s="6">
        <f t="shared" ref="S8:S11" si="32">O8-P8</f>
        <v>0</v>
      </c>
      <c r="T8" s="70">
        <f t="shared" si="3"/>
        <v>8631.7000000000007</v>
      </c>
      <c r="U8" s="72"/>
      <c r="V8" s="72"/>
      <c r="W8" s="2">
        <f t="shared" ref="W8:W11" si="33">U8-T8</f>
        <v>-8631.7000000000007</v>
      </c>
      <c r="X8" s="1">
        <f t="shared" ref="X8:X11" si="34">V8-T8</f>
        <v>-8631.7000000000007</v>
      </c>
      <c r="Y8" s="9">
        <f t="shared" ref="Y8:Y11" si="35">U8-V8</f>
        <v>0</v>
      </c>
      <c r="Z8" s="70">
        <f t="shared" si="4"/>
        <v>8774.7000000000007</v>
      </c>
      <c r="AA8" s="72"/>
      <c r="AB8" s="72"/>
      <c r="AC8" s="2">
        <f t="shared" si="19"/>
        <v>-8774.7000000000007</v>
      </c>
      <c r="AD8" s="1">
        <f t="shared" si="20"/>
        <v>-8774.7000000000007</v>
      </c>
      <c r="AE8" s="6">
        <f t="shared" si="21"/>
        <v>0</v>
      </c>
      <c r="AF8" s="70">
        <f t="shared" si="23"/>
        <v>8945.2999999999993</v>
      </c>
      <c r="AG8" s="72"/>
      <c r="AH8" s="72"/>
      <c r="AI8" s="2">
        <f t="shared" si="5"/>
        <v>-8945.2999999999993</v>
      </c>
      <c r="AJ8" s="2">
        <f t="shared" si="6"/>
        <v>-8945.2999999999993</v>
      </c>
      <c r="AK8" s="9">
        <f t="shared" ref="AK8:AK11" si="36">AG8-AH8</f>
        <v>0</v>
      </c>
      <c r="AL8" s="22"/>
      <c r="AM8" s="57">
        <v>4</v>
      </c>
      <c r="AN8" s="27">
        <v>8573.5</v>
      </c>
      <c r="AO8" s="66">
        <v>8476.2000000000007</v>
      </c>
      <c r="AP8" s="77">
        <v>8504.7999999999993</v>
      </c>
      <c r="AQ8" s="27">
        <v>8631.7000000000007</v>
      </c>
      <c r="AR8" s="6">
        <v>8774.7000000000007</v>
      </c>
      <c r="AS8" s="27">
        <v>8945.2999999999993</v>
      </c>
      <c r="AT8" s="22"/>
      <c r="AU8" s="23"/>
    </row>
    <row r="9" spans="1:47" ht="15.75" x14ac:dyDescent="0.25">
      <c r="A9" s="73">
        <v>5</v>
      </c>
      <c r="B9" s="15">
        <f t="shared" si="0"/>
        <v>8574.6</v>
      </c>
      <c r="C9" s="72"/>
      <c r="D9" s="72"/>
      <c r="E9" s="2">
        <f t="shared" si="24"/>
        <v>-8574.6</v>
      </c>
      <c r="F9" s="1">
        <f t="shared" si="25"/>
        <v>-8574.6</v>
      </c>
      <c r="G9" s="9">
        <f t="shared" si="26"/>
        <v>0</v>
      </c>
      <c r="H9" s="15">
        <f t="shared" si="1"/>
        <v>8476</v>
      </c>
      <c r="I9" s="72"/>
      <c r="J9" s="72"/>
      <c r="K9" s="2">
        <f t="shared" si="27"/>
        <v>-8476</v>
      </c>
      <c r="L9" s="1">
        <f t="shared" si="28"/>
        <v>-8476</v>
      </c>
      <c r="M9" s="9">
        <f t="shared" si="29"/>
        <v>0</v>
      </c>
      <c r="N9" s="15">
        <f t="shared" si="2"/>
        <v>8509.1</v>
      </c>
      <c r="O9" s="72"/>
      <c r="P9" s="72"/>
      <c r="Q9" s="2">
        <f t="shared" si="30"/>
        <v>-8509.1</v>
      </c>
      <c r="R9" s="1">
        <f t="shared" si="31"/>
        <v>-8509.1</v>
      </c>
      <c r="S9" s="6">
        <f t="shared" si="32"/>
        <v>0</v>
      </c>
      <c r="T9" s="70">
        <f t="shared" si="3"/>
        <v>8633.7000000000007</v>
      </c>
      <c r="U9" s="72"/>
      <c r="V9" s="72"/>
      <c r="W9" s="2">
        <f t="shared" si="33"/>
        <v>-8633.7000000000007</v>
      </c>
      <c r="X9" s="1">
        <f t="shared" si="34"/>
        <v>-8633.7000000000007</v>
      </c>
      <c r="Y9" s="9">
        <f t="shared" si="35"/>
        <v>0</v>
      </c>
      <c r="Z9" s="70">
        <f t="shared" si="4"/>
        <v>8759.1</v>
      </c>
      <c r="AA9" s="72"/>
      <c r="AB9" s="72"/>
      <c r="AC9" s="2">
        <f t="shared" si="19"/>
        <v>-8759.1</v>
      </c>
      <c r="AD9" s="1">
        <f t="shared" si="20"/>
        <v>-8759.1</v>
      </c>
      <c r="AE9" s="6">
        <f t="shared" si="21"/>
        <v>0</v>
      </c>
      <c r="AF9" s="70">
        <f t="shared" si="23"/>
        <v>8746.7000000000007</v>
      </c>
      <c r="AG9" s="72"/>
      <c r="AH9" s="72"/>
      <c r="AI9" s="2">
        <f t="shared" si="5"/>
        <v>-8746.7000000000007</v>
      </c>
      <c r="AJ9" s="2">
        <f t="shared" si="6"/>
        <v>-8746.7000000000007</v>
      </c>
      <c r="AK9" s="9">
        <f t="shared" si="36"/>
        <v>0</v>
      </c>
      <c r="AL9" s="22"/>
      <c r="AM9" s="57">
        <v>5</v>
      </c>
      <c r="AN9" s="27">
        <v>8574.6</v>
      </c>
      <c r="AO9" s="66">
        <v>8476</v>
      </c>
      <c r="AP9" s="77">
        <v>8509.1</v>
      </c>
      <c r="AQ9" s="27">
        <v>8633.7000000000007</v>
      </c>
      <c r="AR9" s="6">
        <v>8759.1</v>
      </c>
      <c r="AS9" s="27">
        <v>8746.7000000000007</v>
      </c>
      <c r="AT9" s="22"/>
      <c r="AU9" s="23"/>
    </row>
    <row r="10" spans="1:47" ht="15.75" x14ac:dyDescent="0.25">
      <c r="A10" s="73">
        <v>6</v>
      </c>
      <c r="B10" s="15">
        <f t="shared" si="0"/>
        <v>8620.9</v>
      </c>
      <c r="C10" s="72"/>
      <c r="D10" s="72"/>
      <c r="E10" s="2">
        <f t="shared" si="24"/>
        <v>-8620.9</v>
      </c>
      <c r="F10" s="1">
        <f t="shared" si="25"/>
        <v>-8620.9</v>
      </c>
      <c r="G10" s="9">
        <f t="shared" si="26"/>
        <v>0</v>
      </c>
      <c r="H10" s="15">
        <f t="shared" si="1"/>
        <v>8527</v>
      </c>
      <c r="I10" s="72"/>
      <c r="J10" s="72"/>
      <c r="K10" s="2">
        <f t="shared" si="27"/>
        <v>-8527</v>
      </c>
      <c r="L10" s="1">
        <f t="shared" si="28"/>
        <v>-8527</v>
      </c>
      <c r="M10" s="9">
        <f t="shared" si="29"/>
        <v>0</v>
      </c>
      <c r="N10" s="15">
        <f t="shared" si="2"/>
        <v>8562.9</v>
      </c>
      <c r="O10" s="72"/>
      <c r="P10" s="72"/>
      <c r="Q10" s="2">
        <f t="shared" si="30"/>
        <v>-8562.9</v>
      </c>
      <c r="R10" s="1">
        <f t="shared" si="31"/>
        <v>-8562.9</v>
      </c>
      <c r="S10" s="6">
        <f t="shared" si="32"/>
        <v>0</v>
      </c>
      <c r="T10" s="70">
        <f t="shared" si="3"/>
        <v>8663.5</v>
      </c>
      <c r="U10" s="72"/>
      <c r="V10" s="72"/>
      <c r="W10" s="2">
        <f t="shared" si="33"/>
        <v>-8663.5</v>
      </c>
      <c r="X10" s="1">
        <f t="shared" si="34"/>
        <v>-8663.5</v>
      </c>
      <c r="Y10" s="9">
        <f t="shared" si="35"/>
        <v>0</v>
      </c>
      <c r="Z10" s="70">
        <f t="shared" si="4"/>
        <v>8720.2000000000007</v>
      </c>
      <c r="AA10" s="72"/>
      <c r="AB10" s="72"/>
      <c r="AC10" s="2">
        <f t="shared" si="19"/>
        <v>-8720.2000000000007</v>
      </c>
      <c r="AD10" s="1">
        <f t="shared" si="20"/>
        <v>-8720.2000000000007</v>
      </c>
      <c r="AE10" s="6">
        <f t="shared" si="21"/>
        <v>0</v>
      </c>
      <c r="AF10" s="70">
        <f t="shared" si="23"/>
        <v>8554</v>
      </c>
      <c r="AG10" s="72"/>
      <c r="AH10" s="72"/>
      <c r="AI10" s="2">
        <f t="shared" si="5"/>
        <v>-8554</v>
      </c>
      <c r="AJ10" s="2">
        <f t="shared" si="6"/>
        <v>-8554</v>
      </c>
      <c r="AK10" s="9">
        <f t="shared" si="36"/>
        <v>0</v>
      </c>
      <c r="AL10" s="22"/>
      <c r="AM10" s="57">
        <v>6</v>
      </c>
      <c r="AN10" s="27">
        <v>8620.9</v>
      </c>
      <c r="AO10" s="66">
        <v>8527</v>
      </c>
      <c r="AP10" s="77">
        <v>8562.9</v>
      </c>
      <c r="AQ10" s="27">
        <v>8663.5</v>
      </c>
      <c r="AR10" s="6">
        <v>8720.2000000000007</v>
      </c>
      <c r="AS10" s="27">
        <v>8554</v>
      </c>
      <c r="AT10" s="22"/>
      <c r="AU10" s="23"/>
    </row>
    <row r="11" spans="1:47" ht="15.75" x14ac:dyDescent="0.25">
      <c r="A11" s="73">
        <v>7</v>
      </c>
      <c r="B11" s="15">
        <f t="shared" si="0"/>
        <v>8542.7000000000007</v>
      </c>
      <c r="C11" s="72"/>
      <c r="D11" s="72"/>
      <c r="E11" s="2">
        <f t="shared" si="24"/>
        <v>-8542.7000000000007</v>
      </c>
      <c r="F11" s="1">
        <f t="shared" si="25"/>
        <v>-8542.7000000000007</v>
      </c>
      <c r="G11" s="9">
        <f t="shared" si="26"/>
        <v>0</v>
      </c>
      <c r="H11" s="15">
        <f t="shared" si="1"/>
        <v>8461.7999999999993</v>
      </c>
      <c r="I11" s="72"/>
      <c r="J11" s="72"/>
      <c r="K11" s="2">
        <f t="shared" si="27"/>
        <v>-8461.7999999999993</v>
      </c>
      <c r="L11" s="1">
        <f t="shared" si="28"/>
        <v>-8461.7999999999993</v>
      </c>
      <c r="M11" s="9">
        <f t="shared" si="29"/>
        <v>0</v>
      </c>
      <c r="N11" s="15">
        <f t="shared" si="2"/>
        <v>8507.6</v>
      </c>
      <c r="O11" s="72"/>
      <c r="P11" s="72"/>
      <c r="Q11" s="2">
        <f t="shared" si="30"/>
        <v>-8507.6</v>
      </c>
      <c r="R11" s="1">
        <f t="shared" si="31"/>
        <v>-8507.6</v>
      </c>
      <c r="S11" s="6">
        <f t="shared" si="32"/>
        <v>0</v>
      </c>
      <c r="T11" s="70">
        <f t="shared" si="3"/>
        <v>8636.7999999999993</v>
      </c>
      <c r="U11" s="72"/>
      <c r="V11" s="72"/>
      <c r="W11" s="2">
        <f t="shared" si="33"/>
        <v>-8636.7999999999993</v>
      </c>
      <c r="X11" s="1">
        <f t="shared" si="34"/>
        <v>-8636.7999999999993</v>
      </c>
      <c r="Y11" s="9">
        <f t="shared" si="35"/>
        <v>0</v>
      </c>
      <c r="Z11" s="70">
        <f t="shared" si="4"/>
        <v>8674.6</v>
      </c>
      <c r="AA11" s="72"/>
      <c r="AB11" s="72"/>
      <c r="AC11" s="2">
        <f t="shared" si="19"/>
        <v>-8674.6</v>
      </c>
      <c r="AD11" s="1">
        <f t="shared" si="20"/>
        <v>-8674.6</v>
      </c>
      <c r="AE11" s="6">
        <f t="shared" si="21"/>
        <v>0</v>
      </c>
      <c r="AF11" s="70">
        <f t="shared" si="23"/>
        <v>8494.2000000000007</v>
      </c>
      <c r="AG11" s="72"/>
      <c r="AH11" s="72"/>
      <c r="AI11" s="2">
        <f t="shared" si="5"/>
        <v>-8494.2000000000007</v>
      </c>
      <c r="AJ11" s="2">
        <f t="shared" si="6"/>
        <v>-8494.2000000000007</v>
      </c>
      <c r="AK11" s="9">
        <f t="shared" si="36"/>
        <v>0</v>
      </c>
      <c r="AL11" s="22"/>
      <c r="AM11" s="57">
        <v>7</v>
      </c>
      <c r="AN11" s="27">
        <v>8542.7000000000007</v>
      </c>
      <c r="AO11" s="66">
        <v>8461.7999999999993</v>
      </c>
      <c r="AP11" s="77">
        <v>8507.6</v>
      </c>
      <c r="AQ11" s="27">
        <v>8636.7999999999993</v>
      </c>
      <c r="AR11" s="6">
        <v>8674.6</v>
      </c>
      <c r="AS11" s="27">
        <v>8494.2000000000007</v>
      </c>
      <c r="AT11" s="22"/>
      <c r="AU11" s="23"/>
    </row>
    <row r="12" spans="1:47" ht="16.5" thickBot="1" x14ac:dyDescent="0.3">
      <c r="A12" s="73">
        <v>8</v>
      </c>
      <c r="B12" s="15">
        <f t="shared" si="0"/>
        <v>8499.2000000000007</v>
      </c>
      <c r="C12" s="72"/>
      <c r="D12" s="72"/>
      <c r="E12" s="2">
        <f t="shared" si="7"/>
        <v>-8499.2000000000007</v>
      </c>
      <c r="F12" s="1">
        <f t="shared" si="8"/>
        <v>-8499.2000000000007</v>
      </c>
      <c r="G12" s="9">
        <f t="shared" si="9"/>
        <v>0</v>
      </c>
      <c r="H12" s="15">
        <f t="shared" si="1"/>
        <v>8427</v>
      </c>
      <c r="I12" s="72"/>
      <c r="J12" s="72"/>
      <c r="K12" s="2">
        <f t="shared" si="10"/>
        <v>-8427</v>
      </c>
      <c r="L12" s="1">
        <f t="shared" si="11"/>
        <v>-8427</v>
      </c>
      <c r="M12" s="9">
        <f t="shared" si="12"/>
        <v>0</v>
      </c>
      <c r="N12" s="15">
        <f t="shared" si="2"/>
        <v>8472.5</v>
      </c>
      <c r="O12" s="72"/>
      <c r="P12" s="72"/>
      <c r="Q12" s="2">
        <f t="shared" si="13"/>
        <v>-8472.5</v>
      </c>
      <c r="R12" s="1">
        <f t="shared" si="14"/>
        <v>-8472.5</v>
      </c>
      <c r="S12" s="6">
        <f t="shared" si="15"/>
        <v>0</v>
      </c>
      <c r="T12" s="70">
        <f t="shared" si="3"/>
        <v>8591.4</v>
      </c>
      <c r="U12" s="72"/>
      <c r="V12" s="72"/>
      <c r="W12" s="2">
        <f t="shared" ref="W12:W18" si="37">U12-T12</f>
        <v>-8591.4</v>
      </c>
      <c r="X12" s="1">
        <f t="shared" ref="X12:X18" si="38">V12-T12</f>
        <v>-8591.4</v>
      </c>
      <c r="Y12" s="9">
        <f t="shared" ref="Y12:Y18" si="39">U12-V12</f>
        <v>0</v>
      </c>
      <c r="Z12" s="71">
        <f t="shared" si="4"/>
        <v>8670.5</v>
      </c>
      <c r="AA12" s="55"/>
      <c r="AB12" s="55"/>
      <c r="AC12" s="4">
        <f t="shared" si="19"/>
        <v>-8670.5</v>
      </c>
      <c r="AD12" s="5">
        <f t="shared" si="20"/>
        <v>-8670.5</v>
      </c>
      <c r="AE12" s="76">
        <f t="shared" si="21"/>
        <v>0</v>
      </c>
      <c r="AF12" s="70">
        <f t="shared" si="23"/>
        <v>8559.2000000000007</v>
      </c>
      <c r="AG12" s="72"/>
      <c r="AH12" s="72"/>
      <c r="AI12" s="2">
        <f t="shared" si="5"/>
        <v>-8559.2000000000007</v>
      </c>
      <c r="AJ12" s="2">
        <f t="shared" si="6"/>
        <v>-8559.2000000000007</v>
      </c>
      <c r="AK12" s="9">
        <f t="shared" si="22"/>
        <v>0</v>
      </c>
      <c r="AL12" s="22"/>
      <c r="AM12" s="57">
        <v>8</v>
      </c>
      <c r="AN12" s="27">
        <v>8499.2000000000007</v>
      </c>
      <c r="AO12" s="66">
        <v>8427</v>
      </c>
      <c r="AP12" s="77">
        <v>8472.5</v>
      </c>
      <c r="AQ12" s="68">
        <v>8591.4</v>
      </c>
      <c r="AR12" s="80">
        <v>8670.5</v>
      </c>
      <c r="AS12" s="27">
        <v>8559.2000000000007</v>
      </c>
      <c r="AT12" s="22"/>
      <c r="AU12" s="23"/>
    </row>
    <row r="13" spans="1:47" ht="15.75" x14ac:dyDescent="0.25">
      <c r="A13" s="73">
        <v>9</v>
      </c>
      <c r="B13" s="15">
        <f t="shared" si="0"/>
        <v>8453.7000000000007</v>
      </c>
      <c r="C13" s="72"/>
      <c r="D13" s="72"/>
      <c r="E13" s="2">
        <f t="shared" si="7"/>
        <v>-8453.7000000000007</v>
      </c>
      <c r="F13" s="1">
        <f t="shared" si="8"/>
        <v>-8453.7000000000007</v>
      </c>
      <c r="G13" s="9">
        <f t="shared" si="9"/>
        <v>0</v>
      </c>
      <c r="H13" s="15">
        <f t="shared" si="1"/>
        <v>8568.6</v>
      </c>
      <c r="I13" s="72"/>
      <c r="J13" s="72"/>
      <c r="K13" s="2">
        <f t="shared" si="10"/>
        <v>-8568.6</v>
      </c>
      <c r="L13" s="1">
        <f>J13-H13</f>
        <v>-8568.6</v>
      </c>
      <c r="M13" s="9">
        <f>I13-J13</f>
        <v>0</v>
      </c>
      <c r="N13" s="15">
        <f t="shared" si="2"/>
        <v>8445.2000000000007</v>
      </c>
      <c r="O13" s="72"/>
      <c r="P13" s="72"/>
      <c r="Q13" s="2">
        <f t="shared" si="13"/>
        <v>-8445.2000000000007</v>
      </c>
      <c r="R13" s="1">
        <f>P13-N13</f>
        <v>-8445.2000000000007</v>
      </c>
      <c r="S13" s="6">
        <f>O13-P13</f>
        <v>0</v>
      </c>
      <c r="T13" s="70">
        <f t="shared" si="3"/>
        <v>8561</v>
      </c>
      <c r="U13" s="72"/>
      <c r="V13" s="72"/>
      <c r="W13" s="2">
        <f t="shared" si="37"/>
        <v>-8561</v>
      </c>
      <c r="X13" s="1">
        <f t="shared" si="38"/>
        <v>-8561</v>
      </c>
      <c r="Y13" s="9">
        <f t="shared" si="39"/>
        <v>0</v>
      </c>
      <c r="Z13"/>
      <c r="AA13" s="72"/>
      <c r="AB13"/>
      <c r="AC13"/>
      <c r="AD13"/>
      <c r="AE13"/>
      <c r="AF13" s="70">
        <f t="shared" si="23"/>
        <v>8346.7999999999993</v>
      </c>
      <c r="AG13" s="72"/>
      <c r="AH13" s="72"/>
      <c r="AI13" s="2">
        <f t="shared" si="5"/>
        <v>-8346.7999999999993</v>
      </c>
      <c r="AJ13" s="2">
        <f t="shared" si="6"/>
        <v>-8346.7999999999993</v>
      </c>
      <c r="AK13" s="9">
        <f t="shared" si="22"/>
        <v>0</v>
      </c>
      <c r="AL13" s="22"/>
      <c r="AM13" s="57">
        <v>9</v>
      </c>
      <c r="AN13" s="27">
        <v>8453.7000000000007</v>
      </c>
      <c r="AO13" s="66">
        <v>8568.6</v>
      </c>
      <c r="AP13" s="77">
        <v>8445.2000000000007</v>
      </c>
      <c r="AQ13" s="68">
        <v>8561</v>
      </c>
      <c r="AR13" s="58"/>
      <c r="AS13" s="27">
        <v>8346.7999999999993</v>
      </c>
      <c r="AT13" s="22"/>
      <c r="AU13" s="23"/>
    </row>
    <row r="14" spans="1:47" ht="15.75" x14ac:dyDescent="0.25">
      <c r="A14" s="73">
        <v>10</v>
      </c>
      <c r="B14" s="15">
        <f t="shared" si="0"/>
        <v>8455.9</v>
      </c>
      <c r="C14" s="72"/>
      <c r="D14" s="72"/>
      <c r="E14" s="2">
        <f t="shared" si="7"/>
        <v>-8455.9</v>
      </c>
      <c r="F14" s="1">
        <f t="shared" si="8"/>
        <v>-8455.9</v>
      </c>
      <c r="G14" s="9">
        <f t="shared" si="9"/>
        <v>0</v>
      </c>
      <c r="H14" s="15">
        <f t="shared" si="1"/>
        <v>8395.7999999999993</v>
      </c>
      <c r="I14" s="72"/>
      <c r="J14" s="72"/>
      <c r="K14" s="2">
        <f t="shared" si="10"/>
        <v>-8395.7999999999993</v>
      </c>
      <c r="L14" s="1">
        <f>J14-H14</f>
        <v>-8395.7999999999993</v>
      </c>
      <c r="M14" s="9">
        <f>I14-J14</f>
        <v>0</v>
      </c>
      <c r="N14" s="15">
        <f t="shared" si="2"/>
        <v>8455.2000000000007</v>
      </c>
      <c r="O14" s="72"/>
      <c r="P14" s="72"/>
      <c r="Q14" s="2">
        <f t="shared" si="13"/>
        <v>-8455.2000000000007</v>
      </c>
      <c r="R14" s="1">
        <f>P14-N14</f>
        <v>-8455.2000000000007</v>
      </c>
      <c r="S14" s="6">
        <f>O14-P14</f>
        <v>0</v>
      </c>
      <c r="T14" s="70">
        <f t="shared" si="3"/>
        <v>8570.4</v>
      </c>
      <c r="U14" s="72"/>
      <c r="V14" s="72"/>
      <c r="W14" s="2">
        <f t="shared" si="37"/>
        <v>-8570.4</v>
      </c>
      <c r="X14" s="1">
        <f t="shared" si="38"/>
        <v>-8570.4</v>
      </c>
      <c r="Y14" s="9">
        <f t="shared" si="39"/>
        <v>0</v>
      </c>
      <c r="Z14"/>
      <c r="AA14"/>
      <c r="AB14"/>
      <c r="AC14"/>
      <c r="AD14"/>
      <c r="AE14"/>
      <c r="AF14" s="70">
        <f t="shared" si="23"/>
        <v>8247.7999999999993</v>
      </c>
      <c r="AG14" s="72"/>
      <c r="AH14" s="72"/>
      <c r="AI14" s="2">
        <f t="shared" si="5"/>
        <v>-8247.7999999999993</v>
      </c>
      <c r="AJ14" s="2">
        <f t="shared" si="6"/>
        <v>-8247.7999999999993</v>
      </c>
      <c r="AK14" s="9">
        <f t="shared" si="22"/>
        <v>0</v>
      </c>
      <c r="AL14" s="22"/>
      <c r="AM14" s="57">
        <v>10</v>
      </c>
      <c r="AN14" s="27">
        <v>8455.9</v>
      </c>
      <c r="AO14" s="66">
        <v>8395.7999999999993</v>
      </c>
      <c r="AP14" s="77">
        <v>8455.2000000000007</v>
      </c>
      <c r="AQ14" s="68">
        <v>8570.4</v>
      </c>
      <c r="AR14" s="58"/>
      <c r="AS14" s="27">
        <v>8247.7999999999993</v>
      </c>
      <c r="AT14" s="22"/>
      <c r="AU14" s="23"/>
    </row>
    <row r="15" spans="1:47" ht="15.75" x14ac:dyDescent="0.25">
      <c r="A15" s="73">
        <v>11</v>
      </c>
      <c r="B15" s="15">
        <f t="shared" si="0"/>
        <v>8300</v>
      </c>
      <c r="C15" s="72"/>
      <c r="D15" s="72"/>
      <c r="E15" s="2">
        <f t="shared" si="7"/>
        <v>-8300</v>
      </c>
      <c r="F15" s="1">
        <f t="shared" si="8"/>
        <v>-8300</v>
      </c>
      <c r="G15" s="9">
        <f t="shared" si="9"/>
        <v>0</v>
      </c>
      <c r="H15" s="15">
        <f t="shared" si="1"/>
        <v>8252.2999999999993</v>
      </c>
      <c r="I15" s="72"/>
      <c r="J15" s="72"/>
      <c r="K15" s="2">
        <f t="shared" si="10"/>
        <v>-8252.2999999999993</v>
      </c>
      <c r="L15" s="1">
        <f t="shared" si="11"/>
        <v>-8252.2999999999993</v>
      </c>
      <c r="M15" s="9">
        <f t="shared" si="12"/>
        <v>0</v>
      </c>
      <c r="N15" s="15">
        <f t="shared" si="2"/>
        <v>8285.6</v>
      </c>
      <c r="O15" s="72"/>
      <c r="P15" s="72"/>
      <c r="Q15" s="2">
        <f t="shared" si="13"/>
        <v>-8285.6</v>
      </c>
      <c r="R15" s="1">
        <f t="shared" ref="R15:R22" si="40">P15-N15</f>
        <v>-8285.6</v>
      </c>
      <c r="S15" s="6">
        <f t="shared" ref="S15:S22" si="41">O15-P15</f>
        <v>0</v>
      </c>
      <c r="T15" s="70">
        <f t="shared" si="3"/>
        <v>8422.6</v>
      </c>
      <c r="U15" s="72"/>
      <c r="V15" s="72"/>
      <c r="W15" s="2">
        <f t="shared" si="37"/>
        <v>-8422.6</v>
      </c>
      <c r="X15" s="1">
        <f t="shared" si="38"/>
        <v>-8422.6</v>
      </c>
      <c r="Y15" s="9">
        <f t="shared" si="39"/>
        <v>0</v>
      </c>
      <c r="Z15"/>
      <c r="AA15"/>
      <c r="AB15"/>
      <c r="AC15"/>
      <c r="AD15"/>
      <c r="AE15"/>
      <c r="AF15" s="70">
        <f t="shared" si="23"/>
        <v>8143.8</v>
      </c>
      <c r="AG15" s="72"/>
      <c r="AH15" s="72"/>
      <c r="AI15" s="2">
        <f t="shared" si="5"/>
        <v>-8143.8</v>
      </c>
      <c r="AJ15" s="2">
        <f t="shared" si="6"/>
        <v>-8143.8</v>
      </c>
      <c r="AK15" s="9">
        <f t="shared" si="22"/>
        <v>0</v>
      </c>
      <c r="AL15" s="22"/>
      <c r="AM15" s="57">
        <v>11</v>
      </c>
      <c r="AN15" s="27">
        <v>8300</v>
      </c>
      <c r="AO15" s="66">
        <v>8252.2999999999993</v>
      </c>
      <c r="AP15" s="77">
        <v>8285.6</v>
      </c>
      <c r="AQ15" s="68">
        <v>8422.6</v>
      </c>
      <c r="AR15" s="58"/>
      <c r="AS15" s="27">
        <v>8143.8</v>
      </c>
      <c r="AT15" s="22"/>
      <c r="AU15" s="23"/>
    </row>
    <row r="16" spans="1:47" ht="15.75" x14ac:dyDescent="0.25">
      <c r="A16" s="73">
        <v>12</v>
      </c>
      <c r="B16" s="15">
        <f t="shared" si="0"/>
        <v>8212.5</v>
      </c>
      <c r="C16" s="72"/>
      <c r="D16" s="72"/>
      <c r="E16" s="2">
        <f t="shared" si="7"/>
        <v>-8212.5</v>
      </c>
      <c r="F16" s="1">
        <f t="shared" si="8"/>
        <v>-8212.5</v>
      </c>
      <c r="G16" s="9">
        <f t="shared" si="9"/>
        <v>0</v>
      </c>
      <c r="H16" s="15">
        <f t="shared" si="1"/>
        <v>8176</v>
      </c>
      <c r="I16" s="72"/>
      <c r="J16" s="72"/>
      <c r="K16" s="2">
        <f t="shared" si="10"/>
        <v>-8176</v>
      </c>
      <c r="L16" s="1">
        <f t="shared" si="11"/>
        <v>-8176</v>
      </c>
      <c r="M16" s="9">
        <f t="shared" si="12"/>
        <v>0</v>
      </c>
      <c r="N16" s="15">
        <f t="shared" si="2"/>
        <v>8211.4</v>
      </c>
      <c r="O16" s="72"/>
      <c r="P16" s="72"/>
      <c r="Q16" s="2">
        <f t="shared" si="13"/>
        <v>-8211.4</v>
      </c>
      <c r="R16" s="1">
        <f t="shared" si="40"/>
        <v>-8211.4</v>
      </c>
      <c r="S16" s="9">
        <f t="shared" si="41"/>
        <v>0</v>
      </c>
      <c r="T16" s="70">
        <f t="shared" si="3"/>
        <v>8288.5</v>
      </c>
      <c r="U16" s="72"/>
      <c r="V16" s="72"/>
      <c r="W16" s="2">
        <f t="shared" si="37"/>
        <v>-8288.5</v>
      </c>
      <c r="X16" s="1">
        <f t="shared" si="38"/>
        <v>-8288.5</v>
      </c>
      <c r="Y16" s="9">
        <f t="shared" si="39"/>
        <v>0</v>
      </c>
      <c r="Z16"/>
      <c r="AA16"/>
      <c r="AB16"/>
      <c r="AC16"/>
      <c r="AD16"/>
      <c r="AE16"/>
      <c r="AF16" s="70">
        <f t="shared" si="23"/>
        <v>8074.4</v>
      </c>
      <c r="AG16" s="72"/>
      <c r="AH16" s="72"/>
      <c r="AI16" s="2">
        <f t="shared" si="5"/>
        <v>-8074.4</v>
      </c>
      <c r="AJ16" s="2">
        <f t="shared" si="6"/>
        <v>-8074.4</v>
      </c>
      <c r="AK16" s="9">
        <f t="shared" si="22"/>
        <v>0</v>
      </c>
      <c r="AL16" s="22"/>
      <c r="AM16" s="57">
        <v>12</v>
      </c>
      <c r="AN16" s="27">
        <v>8212.5</v>
      </c>
      <c r="AO16" s="66">
        <v>8176</v>
      </c>
      <c r="AP16" s="77">
        <v>8211.4</v>
      </c>
      <c r="AQ16" s="68">
        <v>8288.5</v>
      </c>
      <c r="AR16" s="58"/>
      <c r="AS16" s="27">
        <v>8074.4</v>
      </c>
      <c r="AT16" s="22"/>
      <c r="AU16" s="23"/>
    </row>
    <row r="17" spans="1:50" ht="16.5" thickBot="1" x14ac:dyDescent="0.3">
      <c r="A17" s="73">
        <v>13</v>
      </c>
      <c r="B17" s="15">
        <f t="shared" si="0"/>
        <v>8160.6</v>
      </c>
      <c r="C17" s="72"/>
      <c r="D17" s="72"/>
      <c r="E17" s="2">
        <f t="shared" si="7"/>
        <v>-8160.6</v>
      </c>
      <c r="F17" s="1">
        <f t="shared" si="8"/>
        <v>-8160.6</v>
      </c>
      <c r="G17" s="9">
        <f t="shared" si="9"/>
        <v>0</v>
      </c>
      <c r="H17" s="15">
        <f t="shared" si="1"/>
        <v>8127.7</v>
      </c>
      <c r="I17" s="72"/>
      <c r="J17" s="72"/>
      <c r="K17" s="2">
        <f t="shared" si="10"/>
        <v>-8127.7</v>
      </c>
      <c r="L17" s="1">
        <f t="shared" si="11"/>
        <v>-8127.7</v>
      </c>
      <c r="M17" s="9">
        <f t="shared" si="12"/>
        <v>0</v>
      </c>
      <c r="N17" s="15">
        <f t="shared" si="2"/>
        <v>8164.1</v>
      </c>
      <c r="O17" s="72"/>
      <c r="P17" s="72"/>
      <c r="Q17" s="2">
        <f t="shared" si="13"/>
        <v>-8164.1</v>
      </c>
      <c r="R17" s="1">
        <f t="shared" si="40"/>
        <v>-8164.1</v>
      </c>
      <c r="S17" s="9">
        <f t="shared" si="41"/>
        <v>0</v>
      </c>
      <c r="T17" s="70">
        <f t="shared" si="3"/>
        <v>8166.5</v>
      </c>
      <c r="U17" s="72"/>
      <c r="V17" s="72"/>
      <c r="W17" s="2">
        <f t="shared" si="37"/>
        <v>-8166.5</v>
      </c>
      <c r="X17" s="1">
        <f t="shared" si="38"/>
        <v>-8166.5</v>
      </c>
      <c r="Y17" s="9">
        <f t="shared" si="39"/>
        <v>0</v>
      </c>
      <c r="Z17"/>
      <c r="AA17"/>
      <c r="AB17"/>
      <c r="AC17"/>
      <c r="AD17"/>
      <c r="AE17"/>
      <c r="AF17" s="71">
        <f t="shared" si="23"/>
        <v>8063.6</v>
      </c>
      <c r="AG17" s="55"/>
      <c r="AH17" s="55"/>
      <c r="AI17" s="4">
        <f t="shared" si="5"/>
        <v>-8063.6</v>
      </c>
      <c r="AJ17" s="4">
        <f t="shared" si="6"/>
        <v>-8063.6</v>
      </c>
      <c r="AK17" s="11">
        <f t="shared" si="22"/>
        <v>0</v>
      </c>
      <c r="AL17" s="22"/>
      <c r="AM17" s="57">
        <v>13</v>
      </c>
      <c r="AN17" s="27">
        <v>8160.6</v>
      </c>
      <c r="AO17" s="66">
        <v>8127.7</v>
      </c>
      <c r="AP17" s="77">
        <v>8164.1</v>
      </c>
      <c r="AQ17" s="68">
        <v>8166.5</v>
      </c>
      <c r="AR17" s="58"/>
      <c r="AS17" s="28">
        <v>8063.6</v>
      </c>
      <c r="AT17" s="22"/>
      <c r="AU17" s="23"/>
      <c r="AW17" s="22"/>
      <c r="AX17" s="23"/>
    </row>
    <row r="18" spans="1:50" ht="16.5" thickBot="1" x14ac:dyDescent="0.3">
      <c r="A18" s="73">
        <v>14</v>
      </c>
      <c r="B18" s="15">
        <f t="shared" si="0"/>
        <v>8044.4</v>
      </c>
      <c r="C18" s="72"/>
      <c r="D18" s="72"/>
      <c r="E18" s="2">
        <f t="shared" ref="E18:E19" si="42">C18-B18</f>
        <v>-8044.4</v>
      </c>
      <c r="F18" s="1">
        <f t="shared" ref="F18:F19" si="43">D18-B18</f>
        <v>-8044.4</v>
      </c>
      <c r="G18" s="9">
        <f t="shared" ref="G18:G19" si="44">C18-D18</f>
        <v>0</v>
      </c>
      <c r="H18" s="15">
        <f t="shared" si="1"/>
        <v>8009.8</v>
      </c>
      <c r="I18" s="72"/>
      <c r="J18" s="72"/>
      <c r="K18" s="2">
        <f t="shared" ref="K18:K19" si="45">I18-H18</f>
        <v>-8009.8</v>
      </c>
      <c r="L18" s="1">
        <f t="shared" ref="L18:L19" si="46">J18-H18</f>
        <v>-8009.8</v>
      </c>
      <c r="M18" s="9">
        <f t="shared" ref="M18:M19" si="47">I18-J18</f>
        <v>0</v>
      </c>
      <c r="N18" s="15">
        <f t="shared" si="2"/>
        <v>8059.2</v>
      </c>
      <c r="O18" s="72"/>
      <c r="P18" s="72"/>
      <c r="Q18" s="2">
        <f t="shared" ref="Q18:Q20" si="48">O18-N18</f>
        <v>-8059.2</v>
      </c>
      <c r="R18" s="1">
        <f t="shared" ref="R18:R20" si="49">P18-N18</f>
        <v>-8059.2</v>
      </c>
      <c r="S18" s="9">
        <f t="shared" ref="S18:S20" si="50">O18-P18</f>
        <v>0</v>
      </c>
      <c r="T18" s="71">
        <f t="shared" si="3"/>
        <v>8062.8</v>
      </c>
      <c r="U18" s="55"/>
      <c r="V18" s="55"/>
      <c r="W18" s="4">
        <f t="shared" si="37"/>
        <v>-8062.8</v>
      </c>
      <c r="X18" s="5">
        <f t="shared" si="38"/>
        <v>-8062.8</v>
      </c>
      <c r="Y18" s="11">
        <f t="shared" si="39"/>
        <v>0</v>
      </c>
      <c r="Z18"/>
      <c r="AA18"/>
      <c r="AB18"/>
      <c r="AC18"/>
      <c r="AD18"/>
      <c r="AE18"/>
      <c r="AF18"/>
      <c r="AG18"/>
      <c r="AH18"/>
      <c r="AI18"/>
      <c r="AJ18"/>
      <c r="AK18"/>
      <c r="AL18" s="22"/>
      <c r="AM18" s="57">
        <v>14</v>
      </c>
      <c r="AN18" s="27">
        <v>8044.4</v>
      </c>
      <c r="AO18" s="66">
        <v>8009.8</v>
      </c>
      <c r="AP18" s="77">
        <v>8059.2</v>
      </c>
      <c r="AQ18" s="69">
        <v>8062.8</v>
      </c>
      <c r="AR18" s="58"/>
      <c r="AS18" s="6"/>
      <c r="AT18" s="22"/>
      <c r="AU18" s="23"/>
      <c r="AW18" s="22"/>
      <c r="AX18" s="23"/>
    </row>
    <row r="19" spans="1:50" ht="15.75" x14ac:dyDescent="0.25">
      <c r="A19" s="73">
        <v>15</v>
      </c>
      <c r="B19" s="15">
        <f t="shared" si="0"/>
        <v>7993</v>
      </c>
      <c r="C19" s="72"/>
      <c r="D19" s="72"/>
      <c r="E19" s="2">
        <f t="shared" si="42"/>
        <v>-7993</v>
      </c>
      <c r="F19" s="1">
        <f t="shared" si="43"/>
        <v>-7993</v>
      </c>
      <c r="G19" s="9">
        <f t="shared" si="44"/>
        <v>0</v>
      </c>
      <c r="H19" s="15">
        <f t="shared" si="1"/>
        <v>7944.7</v>
      </c>
      <c r="I19" s="72"/>
      <c r="J19" s="72"/>
      <c r="K19" s="2">
        <f t="shared" si="45"/>
        <v>-7944.7</v>
      </c>
      <c r="L19" s="1">
        <f t="shared" si="46"/>
        <v>-7944.7</v>
      </c>
      <c r="M19" s="9">
        <f t="shared" si="47"/>
        <v>0</v>
      </c>
      <c r="N19" s="15">
        <f t="shared" si="2"/>
        <v>7989.1</v>
      </c>
      <c r="O19" s="72"/>
      <c r="P19" s="72"/>
      <c r="Q19" s="2">
        <f t="shared" si="48"/>
        <v>-7989.1</v>
      </c>
      <c r="R19" s="1">
        <f t="shared" si="49"/>
        <v>-7989.1</v>
      </c>
      <c r="S19" s="9">
        <f t="shared" si="50"/>
        <v>0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 s="22"/>
      <c r="AM19" s="57">
        <v>15</v>
      </c>
      <c r="AN19" s="27">
        <v>7993</v>
      </c>
      <c r="AO19" s="66">
        <v>7944.7</v>
      </c>
      <c r="AP19" s="27">
        <v>7989.1</v>
      </c>
      <c r="AQ19" s="58"/>
      <c r="AR19" s="58"/>
      <c r="AS19" s="6"/>
      <c r="AT19" s="22"/>
      <c r="AU19" s="23"/>
      <c r="AW19" s="22"/>
      <c r="AX19" s="23"/>
    </row>
    <row r="20" spans="1:50" ht="15.75" x14ac:dyDescent="0.25">
      <c r="A20" s="73">
        <v>16</v>
      </c>
      <c r="B20" s="15">
        <f t="shared" si="0"/>
        <v>7969.5</v>
      </c>
      <c r="C20" s="72"/>
      <c r="D20" s="72"/>
      <c r="E20" s="2">
        <f t="shared" si="7"/>
        <v>-7969.5</v>
      </c>
      <c r="F20" s="1">
        <f t="shared" si="8"/>
        <v>-7969.5</v>
      </c>
      <c r="G20" s="9">
        <f t="shared" si="9"/>
        <v>0</v>
      </c>
      <c r="H20" s="15">
        <f t="shared" si="1"/>
        <v>7899.4</v>
      </c>
      <c r="I20" s="72"/>
      <c r="J20" s="72"/>
      <c r="K20" s="2">
        <f t="shared" si="10"/>
        <v>-7899.4</v>
      </c>
      <c r="L20" s="1">
        <f t="shared" si="11"/>
        <v>-7899.4</v>
      </c>
      <c r="M20" s="9">
        <f t="shared" si="12"/>
        <v>0</v>
      </c>
      <c r="N20" s="15">
        <f t="shared" si="2"/>
        <v>7950.4</v>
      </c>
      <c r="O20" s="72"/>
      <c r="P20" s="72"/>
      <c r="Q20" s="2">
        <f t="shared" si="48"/>
        <v>-7950.4</v>
      </c>
      <c r="R20" s="1">
        <f t="shared" si="49"/>
        <v>-7950.4</v>
      </c>
      <c r="S20" s="9">
        <f t="shared" si="50"/>
        <v>0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22"/>
      <c r="AM20" s="57">
        <v>16</v>
      </c>
      <c r="AN20" s="27">
        <v>7969.5</v>
      </c>
      <c r="AO20" s="66">
        <v>7899.4</v>
      </c>
      <c r="AP20" s="27">
        <v>7950.4</v>
      </c>
      <c r="AQ20" s="58"/>
      <c r="AR20" s="58"/>
      <c r="AS20"/>
      <c r="AT20" s="22"/>
      <c r="AU20" s="23"/>
      <c r="AW20" s="22"/>
      <c r="AX20" s="23"/>
    </row>
    <row r="21" spans="1:50" ht="15.75" x14ac:dyDescent="0.25">
      <c r="A21" s="73">
        <v>17</v>
      </c>
      <c r="B21" s="15">
        <f t="shared" si="0"/>
        <v>7757.8</v>
      </c>
      <c r="C21" s="72"/>
      <c r="D21" s="72"/>
      <c r="E21" s="2">
        <f t="shared" si="7"/>
        <v>-7757.8</v>
      </c>
      <c r="F21" s="1">
        <f t="shared" si="8"/>
        <v>-7757.8</v>
      </c>
      <c r="G21" s="9">
        <f t="shared" si="9"/>
        <v>0</v>
      </c>
      <c r="H21" s="15">
        <f t="shared" si="1"/>
        <v>7742.4</v>
      </c>
      <c r="I21" s="72"/>
      <c r="J21" s="72"/>
      <c r="K21" s="2">
        <f t="shared" si="10"/>
        <v>-7742.4</v>
      </c>
      <c r="L21" s="1">
        <f t="shared" si="11"/>
        <v>-7742.4</v>
      </c>
      <c r="M21" s="9">
        <f t="shared" si="12"/>
        <v>0</v>
      </c>
      <c r="N21" s="15">
        <f t="shared" si="2"/>
        <v>7836.8</v>
      </c>
      <c r="O21" s="72"/>
      <c r="P21" s="72"/>
      <c r="Q21" s="2">
        <f t="shared" si="13"/>
        <v>-7836.8</v>
      </c>
      <c r="R21" s="1">
        <f t="shared" si="40"/>
        <v>-7836.8</v>
      </c>
      <c r="S21" s="9">
        <f t="shared" si="41"/>
        <v>0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 s="22"/>
      <c r="AM21" s="57">
        <v>17</v>
      </c>
      <c r="AN21" s="27">
        <v>7757.8</v>
      </c>
      <c r="AO21" s="66">
        <v>7742.4</v>
      </c>
      <c r="AP21" s="27">
        <v>7836.8</v>
      </c>
      <c r="AQ21" s="59"/>
      <c r="AR21" s="59"/>
      <c r="AS21"/>
      <c r="AT21" s="22"/>
      <c r="AU21" s="23"/>
      <c r="AW21" s="22"/>
      <c r="AX21" s="23"/>
    </row>
    <row r="22" spans="1:50" ht="16.5" thickBot="1" x14ac:dyDescent="0.3">
      <c r="A22" s="74">
        <v>18</v>
      </c>
      <c r="B22" s="18">
        <f t="shared" si="0"/>
        <v>7653.9</v>
      </c>
      <c r="C22" s="55"/>
      <c r="D22" s="55"/>
      <c r="E22" s="4">
        <f t="shared" si="7"/>
        <v>-7653.9</v>
      </c>
      <c r="F22" s="5">
        <f t="shared" si="8"/>
        <v>-7653.9</v>
      </c>
      <c r="G22" s="11">
        <f t="shared" si="9"/>
        <v>0</v>
      </c>
      <c r="H22" s="18">
        <f t="shared" si="1"/>
        <v>7701.6</v>
      </c>
      <c r="I22" s="55"/>
      <c r="J22" s="55"/>
      <c r="K22" s="4">
        <f t="shared" si="10"/>
        <v>-7701.6</v>
      </c>
      <c r="L22" s="5">
        <f t="shared" si="11"/>
        <v>-7701.6</v>
      </c>
      <c r="M22" s="11">
        <f t="shared" si="12"/>
        <v>0</v>
      </c>
      <c r="N22" s="18">
        <f t="shared" si="2"/>
        <v>7797.9</v>
      </c>
      <c r="O22" s="55"/>
      <c r="P22" s="55"/>
      <c r="Q22" s="4">
        <f t="shared" si="13"/>
        <v>-7797.9</v>
      </c>
      <c r="R22" s="5">
        <f t="shared" si="40"/>
        <v>-7797.9</v>
      </c>
      <c r="S22" s="11">
        <f t="shared" si="41"/>
        <v>0</v>
      </c>
      <c r="T22"/>
      <c r="U22"/>
      <c r="AK22"/>
      <c r="AL22" s="22"/>
      <c r="AM22" s="60">
        <v>18</v>
      </c>
      <c r="AN22" s="28">
        <v>7653.9</v>
      </c>
      <c r="AO22" s="67">
        <v>7701.6</v>
      </c>
      <c r="AP22" s="28">
        <v>7797.9</v>
      </c>
      <c r="AQ22" s="58"/>
      <c r="AR22" s="58"/>
      <c r="AT22" s="22"/>
      <c r="AU22" s="23"/>
      <c r="AW22" s="22"/>
      <c r="AX22" s="23"/>
    </row>
    <row r="23" spans="1:50" ht="7.5" customHeight="1" x14ac:dyDescent="0.25">
      <c r="A23" s="19"/>
      <c r="B23" s="6"/>
      <c r="C23" s="2"/>
      <c r="D23" s="6"/>
      <c r="E23" s="2"/>
      <c r="F23" s="6"/>
      <c r="G23" s="6"/>
      <c r="H23" s="6"/>
      <c r="I23" s="6"/>
      <c r="J23" s="6"/>
      <c r="K23" s="6"/>
      <c r="L23" s="6"/>
      <c r="M23" s="6"/>
      <c r="N23" s="6"/>
      <c r="O23" s="2"/>
      <c r="P23" s="6"/>
      <c r="Q23" s="2"/>
      <c r="R23" s="6"/>
      <c r="S23" s="6"/>
      <c r="T23" s="6"/>
      <c r="AK23" s="6"/>
      <c r="AL23" s="6"/>
      <c r="AP23" s="22"/>
      <c r="AQ23" s="23"/>
      <c r="AR23" s="23"/>
    </row>
    <row r="24" spans="1:50" ht="15.75" thickBot="1" x14ac:dyDescent="0.3">
      <c r="C24" s="16"/>
      <c r="E24" s="16"/>
      <c r="I24" s="16"/>
      <c r="K24" s="16"/>
      <c r="O24" s="16"/>
      <c r="Q24" s="16"/>
      <c r="W24" s="3" t="s">
        <v>6</v>
      </c>
      <c r="X24" s="3">
        <v>30</v>
      </c>
      <c r="Y24" s="83" t="s">
        <v>14</v>
      </c>
      <c r="Z24" s="83"/>
      <c r="AA24" s="83"/>
      <c r="AB24" s="107"/>
      <c r="AC24" s="107"/>
      <c r="AD24"/>
      <c r="AE24"/>
      <c r="AF24"/>
      <c r="AG24"/>
      <c r="AH24"/>
      <c r="AM24"/>
      <c r="AN24"/>
      <c r="AO24"/>
      <c r="AP24"/>
      <c r="AQ24"/>
      <c r="AR24"/>
      <c r="AS24"/>
      <c r="AT24"/>
    </row>
    <row r="25" spans="1:50" ht="28.5" customHeight="1" thickBot="1" x14ac:dyDescent="0.3">
      <c r="C25" s="16"/>
      <c r="E25" s="16"/>
      <c r="I25" s="16"/>
      <c r="K25" s="16"/>
      <c r="O25" s="16"/>
      <c r="Q25" s="16"/>
      <c r="W25" s="3" t="s">
        <v>4</v>
      </c>
      <c r="X25" s="3">
        <v>22</v>
      </c>
      <c r="Y25" s="82" t="s">
        <v>16</v>
      </c>
      <c r="Z25" s="82"/>
      <c r="AA25" s="106"/>
      <c r="AB25" s="109"/>
      <c r="AC25" s="110"/>
      <c r="AD25"/>
      <c r="AE25"/>
      <c r="AF25"/>
      <c r="AG25"/>
      <c r="AH25"/>
      <c r="AM25"/>
      <c r="AN25"/>
      <c r="AO25"/>
      <c r="AP25"/>
      <c r="AQ25"/>
      <c r="AR25"/>
      <c r="AS25"/>
      <c r="AT25"/>
    </row>
    <row r="26" spans="1:50" ht="15.75" customHeight="1" x14ac:dyDescent="0.25">
      <c r="A26" s="6"/>
      <c r="B26" s="6"/>
      <c r="C26"/>
      <c r="D26"/>
      <c r="E26"/>
      <c r="F26"/>
      <c r="G26"/>
      <c r="I26" s="16"/>
      <c r="J26"/>
      <c r="K26"/>
      <c r="O26" s="16"/>
      <c r="P26" s="17"/>
      <c r="Q26" s="16"/>
      <c r="W26" s="3" t="s">
        <v>5</v>
      </c>
      <c r="X26" s="3">
        <v>15</v>
      </c>
      <c r="Y26" s="82" t="s">
        <v>17</v>
      </c>
      <c r="Z26" s="82"/>
      <c r="AA26" s="82"/>
      <c r="AB26" s="108"/>
      <c r="AC26" s="108"/>
      <c r="AD26"/>
      <c r="AE26"/>
      <c r="AF26"/>
      <c r="AG26"/>
      <c r="AH26"/>
      <c r="AM26"/>
      <c r="AN26"/>
      <c r="AO26"/>
      <c r="AP26"/>
      <c r="AQ26"/>
      <c r="AR26"/>
      <c r="AS26"/>
      <c r="AT26"/>
    </row>
    <row r="27" spans="1:50" x14ac:dyDescent="0.25">
      <c r="C27" s="16"/>
      <c r="E27" s="16"/>
      <c r="I27" s="16"/>
      <c r="K27" s="16"/>
      <c r="O27" s="16"/>
      <c r="Q27" s="16"/>
      <c r="W27" s="3" t="s">
        <v>20</v>
      </c>
      <c r="X27" s="3">
        <v>0</v>
      </c>
      <c r="AM27"/>
      <c r="AN27"/>
      <c r="AO27"/>
      <c r="AP27"/>
      <c r="AQ27"/>
      <c r="AR27"/>
      <c r="AS27"/>
      <c r="AT27"/>
    </row>
    <row r="28" spans="1:50" ht="15" customHeight="1" x14ac:dyDescent="0.25">
      <c r="A28" s="6"/>
      <c r="B28" s="6"/>
      <c r="C28"/>
      <c r="D28"/>
      <c r="E28"/>
      <c r="F28"/>
      <c r="G28"/>
      <c r="I28" s="16"/>
      <c r="J28"/>
      <c r="K28"/>
      <c r="O28" s="16"/>
      <c r="P28" s="17"/>
      <c r="Q28" s="16"/>
      <c r="AM28"/>
      <c r="AN28"/>
      <c r="AO28"/>
      <c r="AP28"/>
      <c r="AQ28"/>
      <c r="AR28"/>
      <c r="AT28"/>
    </row>
    <row r="29" spans="1:50" x14ac:dyDescent="0.25">
      <c r="C29" s="16"/>
      <c r="E29" s="16"/>
      <c r="I29" s="16"/>
      <c r="K29" s="16"/>
      <c r="O29" s="16"/>
      <c r="Q29" s="16"/>
      <c r="AF29"/>
      <c r="AG29"/>
      <c r="AM29"/>
      <c r="AN29"/>
      <c r="AO29"/>
      <c r="AP29"/>
      <c r="AQ29"/>
      <c r="AR29"/>
      <c r="AT29"/>
    </row>
    <row r="30" spans="1:50" x14ac:dyDescent="0.25">
      <c r="C30" s="16"/>
      <c r="E30" s="16"/>
      <c r="I30" s="16"/>
      <c r="K30" s="16"/>
      <c r="O30" s="16"/>
      <c r="Q30" s="16"/>
      <c r="AM30"/>
      <c r="AN30"/>
      <c r="AO30"/>
      <c r="AP30"/>
      <c r="AQ30"/>
      <c r="AR30"/>
      <c r="AS30"/>
      <c r="AT30"/>
    </row>
    <row r="31" spans="1:50" x14ac:dyDescent="0.25">
      <c r="C31" s="16"/>
      <c r="E31" s="16"/>
      <c r="I31" s="16"/>
      <c r="K31" s="16"/>
      <c r="O31" s="16"/>
      <c r="Q31" s="16"/>
      <c r="AM31"/>
      <c r="AN31"/>
      <c r="AO31"/>
      <c r="AP31"/>
      <c r="AQ31"/>
      <c r="AR31"/>
      <c r="AS31"/>
      <c r="AT31"/>
    </row>
    <row r="32" spans="1:50" x14ac:dyDescent="0.25">
      <c r="C32" s="16"/>
      <c r="E32" s="16"/>
      <c r="I32" s="16"/>
      <c r="K32" s="16"/>
      <c r="O32" s="16"/>
      <c r="Q32" s="16"/>
      <c r="AG32" s="17"/>
      <c r="AM32"/>
      <c r="AN32"/>
      <c r="AO32"/>
      <c r="AP32"/>
      <c r="AQ32"/>
      <c r="AR32"/>
      <c r="AS32"/>
      <c r="AT32"/>
    </row>
    <row r="33" spans="1:46" x14ac:dyDescent="0.25">
      <c r="C33" s="16"/>
      <c r="E33" s="16"/>
      <c r="I33" s="16"/>
      <c r="K33" s="16"/>
      <c r="O33" s="16"/>
      <c r="Q33" s="16"/>
      <c r="AG33" s="17"/>
      <c r="AM33"/>
      <c r="AN33"/>
      <c r="AO33"/>
      <c r="AP33"/>
      <c r="AQ33"/>
      <c r="AR33"/>
      <c r="AS33"/>
      <c r="AT33"/>
    </row>
    <row r="34" spans="1:46" x14ac:dyDescent="0.25">
      <c r="A34" s="6"/>
      <c r="B34" s="6"/>
      <c r="C34"/>
      <c r="D34"/>
      <c r="E34"/>
      <c r="F34"/>
      <c r="G34"/>
      <c r="I34" s="16"/>
      <c r="J34"/>
      <c r="K34"/>
      <c r="O34" s="16"/>
      <c r="P34" s="17"/>
      <c r="Q34" s="16"/>
      <c r="AG34" s="17"/>
      <c r="AM34"/>
      <c r="AN34"/>
      <c r="AO34"/>
      <c r="AP34"/>
      <c r="AQ34"/>
      <c r="AR34"/>
      <c r="AS34"/>
      <c r="AT34"/>
    </row>
    <row r="35" spans="1:46" x14ac:dyDescent="0.25">
      <c r="A35" s="6"/>
      <c r="B35" s="17"/>
      <c r="C35"/>
      <c r="D35"/>
      <c r="E35"/>
      <c r="F35"/>
      <c r="G35"/>
      <c r="I35" s="16"/>
      <c r="K35" s="16"/>
      <c r="O35" s="16"/>
      <c r="P35" s="17"/>
      <c r="Q35" s="16"/>
      <c r="AG35" s="17"/>
      <c r="AM35"/>
      <c r="AN35"/>
      <c r="AO35"/>
      <c r="AP35"/>
      <c r="AQ35"/>
      <c r="AR35"/>
      <c r="AS35"/>
      <c r="AT35"/>
    </row>
    <row r="36" spans="1:46" x14ac:dyDescent="0.25">
      <c r="A36" s="6"/>
      <c r="C36"/>
      <c r="D36"/>
      <c r="E36"/>
      <c r="F36"/>
      <c r="G36"/>
      <c r="I36" s="16"/>
      <c r="K36" s="16"/>
      <c r="O36" s="16"/>
      <c r="P36" s="17"/>
      <c r="Q36" s="16"/>
      <c r="AG36" s="17"/>
      <c r="AM36"/>
      <c r="AN36"/>
      <c r="AO36"/>
      <c r="AP36"/>
      <c r="AQ36"/>
      <c r="AR36"/>
      <c r="AS36"/>
      <c r="AT36"/>
    </row>
    <row r="37" spans="1:46" x14ac:dyDescent="0.25">
      <c r="A37" s="17"/>
      <c r="C37" s="16"/>
      <c r="E37" s="16"/>
      <c r="G37" s="17"/>
      <c r="I37" s="16"/>
      <c r="K37" s="16"/>
      <c r="O37" s="16"/>
      <c r="P37" s="17"/>
      <c r="Q37" s="16"/>
      <c r="AG37" s="17"/>
      <c r="AM37"/>
      <c r="AN37"/>
      <c r="AO37"/>
      <c r="AP37"/>
      <c r="AQ37"/>
      <c r="AR37"/>
      <c r="AS37"/>
      <c r="AT37"/>
    </row>
    <row r="38" spans="1:46" x14ac:dyDescent="0.25">
      <c r="A38" s="6"/>
      <c r="C38" s="16"/>
      <c r="E38" s="16"/>
      <c r="G38" s="17"/>
      <c r="I38" s="16"/>
      <c r="K38" s="16"/>
      <c r="O38" s="16"/>
      <c r="P38" s="17"/>
      <c r="Q38" s="16"/>
      <c r="AG38" s="17"/>
      <c r="AM38"/>
      <c r="AN38"/>
      <c r="AO38"/>
      <c r="AP38"/>
      <c r="AQ38"/>
      <c r="AR38"/>
      <c r="AS38"/>
      <c r="AT38"/>
    </row>
    <row r="39" spans="1:46" x14ac:dyDescent="0.25">
      <c r="A39" s="6"/>
      <c r="C39" s="16"/>
      <c r="E39" s="16"/>
      <c r="G39" s="17"/>
      <c r="I39" s="16"/>
      <c r="K39" s="16"/>
      <c r="O39" s="16"/>
      <c r="P39" s="17"/>
      <c r="Q39" s="16"/>
      <c r="AG39" s="17"/>
      <c r="AM39"/>
      <c r="AN39"/>
      <c r="AO39"/>
      <c r="AP39"/>
      <c r="AQ39"/>
      <c r="AR39"/>
      <c r="AS39"/>
      <c r="AT39"/>
    </row>
    <row r="40" spans="1:46" x14ac:dyDescent="0.25">
      <c r="A40" s="6"/>
      <c r="C40" s="16"/>
      <c r="E40" s="16"/>
      <c r="G40" s="17"/>
      <c r="I40" s="16"/>
      <c r="K40" s="16"/>
      <c r="O40" s="16"/>
      <c r="P40" s="17"/>
      <c r="Q40" s="16"/>
      <c r="AG40" s="17"/>
      <c r="AM40"/>
      <c r="AN40"/>
      <c r="AO40"/>
      <c r="AP40"/>
      <c r="AQ40"/>
      <c r="AR40"/>
      <c r="AS40"/>
      <c r="AT40"/>
    </row>
    <row r="41" spans="1:46" x14ac:dyDescent="0.25">
      <c r="A41" s="6"/>
      <c r="B41" s="17"/>
      <c r="C41" s="21"/>
      <c r="E41" s="16"/>
      <c r="G41" s="17"/>
      <c r="I41" s="16"/>
      <c r="K41" s="16"/>
      <c r="O41" s="16"/>
      <c r="P41" s="17"/>
      <c r="Q41" s="16"/>
      <c r="AG41" s="17"/>
      <c r="AM41"/>
      <c r="AN41"/>
      <c r="AO41"/>
      <c r="AP41"/>
      <c r="AQ41"/>
      <c r="AR41"/>
      <c r="AS41"/>
      <c r="AT41"/>
    </row>
    <row r="42" spans="1:46" x14ac:dyDescent="0.25">
      <c r="A42" s="6"/>
      <c r="B42" s="17"/>
      <c r="C42" s="21"/>
      <c r="E42" s="16"/>
      <c r="G42" s="17"/>
      <c r="I42" s="16"/>
      <c r="K42" s="16"/>
      <c r="O42" s="16"/>
      <c r="P42" s="17"/>
      <c r="Q42" s="16"/>
      <c r="AG42" s="17"/>
      <c r="AM42"/>
      <c r="AN42"/>
      <c r="AO42"/>
      <c r="AP42"/>
      <c r="AQ42"/>
      <c r="AR42"/>
      <c r="AS42"/>
      <c r="AT42"/>
    </row>
    <row r="43" spans="1:46" x14ac:dyDescent="0.25">
      <c r="A43" s="6"/>
      <c r="B43" s="17"/>
      <c r="C43" s="21"/>
      <c r="E43" s="16"/>
      <c r="G43" s="17"/>
      <c r="I43" s="16"/>
      <c r="K43" s="16"/>
      <c r="O43" s="16"/>
      <c r="P43" s="17"/>
      <c r="Q43" s="16"/>
      <c r="AG43" s="17"/>
    </row>
    <row r="44" spans="1:46" x14ac:dyDescent="0.25">
      <c r="A44" s="6"/>
      <c r="B44" s="17"/>
      <c r="C44" s="21"/>
      <c r="E44" s="16"/>
      <c r="G44" s="17"/>
      <c r="I44" s="16"/>
      <c r="K44" s="16"/>
      <c r="O44" s="16"/>
      <c r="P44" s="17"/>
      <c r="Q44" s="16"/>
      <c r="AG44" s="17"/>
    </row>
    <row r="45" spans="1:46" x14ac:dyDescent="0.25">
      <c r="A45" s="17"/>
      <c r="B45" s="17"/>
      <c r="C45" s="21"/>
      <c r="E45" s="16"/>
      <c r="G45" s="17"/>
      <c r="I45" s="16"/>
      <c r="K45" s="16"/>
      <c r="O45" s="16"/>
      <c r="P45" s="17"/>
      <c r="Q45" s="16"/>
      <c r="AG45" s="17"/>
    </row>
    <row r="46" spans="1:46" x14ac:dyDescent="0.25">
      <c r="C46" s="16"/>
      <c r="E46" s="16"/>
      <c r="G46" s="17"/>
      <c r="I46" s="16"/>
      <c r="K46" s="16"/>
      <c r="O46" s="16"/>
      <c r="P46" s="17"/>
      <c r="Q46" s="16"/>
      <c r="AG46" s="17"/>
    </row>
    <row r="47" spans="1:46" x14ac:dyDescent="0.25">
      <c r="C47" s="16"/>
      <c r="E47" s="16"/>
      <c r="G47" s="17"/>
      <c r="I47" s="16"/>
      <c r="K47" s="16"/>
      <c r="O47" s="16"/>
      <c r="P47" s="17"/>
      <c r="Q47" s="16"/>
      <c r="AG47" s="17"/>
    </row>
    <row r="48" spans="1:46" x14ac:dyDescent="0.25">
      <c r="C48" s="16"/>
      <c r="E48" s="16"/>
      <c r="G48" s="17"/>
      <c r="I48" s="16"/>
      <c r="K48" s="16"/>
      <c r="O48" s="16"/>
      <c r="P48" s="17"/>
      <c r="Q48" s="16"/>
      <c r="AG48" s="17"/>
    </row>
    <row r="49" spans="3:33" x14ac:dyDescent="0.25">
      <c r="C49" s="16"/>
      <c r="E49" s="16"/>
      <c r="G49" s="17"/>
      <c r="I49" s="16"/>
      <c r="K49" s="16"/>
      <c r="O49" s="16"/>
      <c r="P49" s="17"/>
      <c r="Q49" s="16"/>
      <c r="AG49" s="17"/>
    </row>
    <row r="50" spans="3:33" x14ac:dyDescent="0.25">
      <c r="C50" s="16"/>
      <c r="E50" s="16"/>
      <c r="G50" s="17"/>
      <c r="I50" s="16"/>
      <c r="K50" s="16"/>
      <c r="O50" s="16"/>
      <c r="P50" s="17"/>
      <c r="Q50" s="16"/>
      <c r="AG50" s="17"/>
    </row>
    <row r="51" spans="3:33" x14ac:dyDescent="0.25">
      <c r="C51" s="16"/>
      <c r="E51" s="16"/>
      <c r="G51" s="17"/>
      <c r="I51" s="16"/>
      <c r="K51" s="16"/>
      <c r="O51" s="16"/>
      <c r="P51" s="17"/>
      <c r="Q51" s="16"/>
      <c r="AG51" s="17"/>
    </row>
    <row r="52" spans="3:33" x14ac:dyDescent="0.25">
      <c r="C52" s="16"/>
      <c r="E52" s="16"/>
      <c r="G52" s="17"/>
      <c r="I52" s="16"/>
      <c r="K52" s="16"/>
      <c r="O52" s="16"/>
      <c r="P52" s="17"/>
      <c r="Q52" s="16"/>
      <c r="AG52" s="17"/>
    </row>
    <row r="53" spans="3:33" x14ac:dyDescent="0.25">
      <c r="C53" s="16"/>
      <c r="E53" s="16"/>
      <c r="G53" s="17"/>
      <c r="I53" s="16"/>
      <c r="K53" s="16"/>
      <c r="O53" s="16"/>
      <c r="P53" s="17"/>
      <c r="Q53" s="16"/>
      <c r="AG53" s="17"/>
    </row>
    <row r="54" spans="3:33" x14ac:dyDescent="0.25">
      <c r="C54" s="16"/>
      <c r="E54" s="16"/>
      <c r="G54" s="17"/>
      <c r="I54" s="16"/>
      <c r="K54" s="16"/>
      <c r="O54" s="16"/>
      <c r="P54" s="17"/>
      <c r="Q54" s="16"/>
      <c r="AG54" s="17"/>
    </row>
    <row r="55" spans="3:33" x14ac:dyDescent="0.25">
      <c r="C55" s="16"/>
      <c r="E55" s="16"/>
      <c r="G55" s="17"/>
      <c r="I55" s="16"/>
      <c r="K55" s="16"/>
      <c r="O55" s="16"/>
      <c r="P55" s="17"/>
      <c r="Q55" s="16"/>
      <c r="AG55" s="17"/>
    </row>
    <row r="56" spans="3:33" x14ac:dyDescent="0.25">
      <c r="C56" s="16"/>
      <c r="E56" s="16"/>
      <c r="G56" s="17"/>
      <c r="I56" s="16"/>
      <c r="K56" s="16"/>
      <c r="O56" s="16"/>
      <c r="P56" s="17"/>
      <c r="Q56" s="16"/>
      <c r="AG56" s="17"/>
    </row>
    <row r="57" spans="3:33" x14ac:dyDescent="0.25">
      <c r="C57" s="16"/>
      <c r="E57" s="16"/>
      <c r="G57" s="17"/>
      <c r="I57" s="16"/>
      <c r="K57" s="16"/>
      <c r="O57" s="16"/>
      <c r="P57" s="17"/>
      <c r="Q57" s="16"/>
      <c r="AG57" s="17"/>
    </row>
    <row r="58" spans="3:33" x14ac:dyDescent="0.25">
      <c r="C58" s="16"/>
      <c r="E58" s="16"/>
      <c r="G58" s="17"/>
      <c r="I58" s="16"/>
      <c r="K58" s="16"/>
      <c r="O58" s="16"/>
      <c r="P58" s="17"/>
      <c r="Q58" s="16"/>
      <c r="AG58" s="17"/>
    </row>
    <row r="59" spans="3:33" x14ac:dyDescent="0.25">
      <c r="C59" s="16"/>
      <c r="E59" s="16"/>
      <c r="G59" s="17"/>
      <c r="I59" s="16"/>
      <c r="K59" s="16"/>
      <c r="O59" s="16"/>
      <c r="P59" s="17"/>
      <c r="Q59" s="16"/>
      <c r="AG59" s="17"/>
    </row>
    <row r="60" spans="3:33" x14ac:dyDescent="0.25">
      <c r="C60" s="16"/>
      <c r="E60" s="16"/>
      <c r="G60" s="17"/>
      <c r="I60" s="16"/>
      <c r="K60" s="16"/>
      <c r="O60" s="16"/>
      <c r="P60" s="17"/>
      <c r="Q60" s="16"/>
      <c r="AG60" s="17"/>
    </row>
    <row r="61" spans="3:33" x14ac:dyDescent="0.25">
      <c r="C61" s="16"/>
      <c r="E61" s="16"/>
      <c r="G61" s="17"/>
      <c r="I61" s="16"/>
      <c r="K61" s="16"/>
      <c r="O61" s="16"/>
      <c r="P61" s="17"/>
      <c r="Q61" s="16"/>
      <c r="AG61" s="17"/>
    </row>
    <row r="62" spans="3:33" x14ac:dyDescent="0.25">
      <c r="C62" s="16"/>
      <c r="E62" s="16"/>
      <c r="G62" s="17"/>
      <c r="I62" s="16"/>
      <c r="K62" s="16"/>
      <c r="O62" s="16"/>
      <c r="P62" s="17"/>
      <c r="Q62" s="16"/>
      <c r="AG62" s="17"/>
    </row>
    <row r="63" spans="3:33" x14ac:dyDescent="0.25">
      <c r="C63" s="16"/>
      <c r="E63" s="16"/>
      <c r="G63" s="17"/>
      <c r="I63" s="16"/>
      <c r="K63" s="16"/>
      <c r="O63" s="16"/>
      <c r="P63" s="17"/>
      <c r="Q63" s="16"/>
      <c r="AG63" s="17"/>
    </row>
    <row r="64" spans="3:33" x14ac:dyDescent="0.25">
      <c r="C64" s="16"/>
      <c r="E64" s="16"/>
      <c r="G64" s="17"/>
      <c r="I64" s="16"/>
      <c r="K64" s="16"/>
      <c r="O64" s="16"/>
      <c r="P64" s="17"/>
      <c r="Q64" s="16"/>
      <c r="AG64" s="17"/>
    </row>
    <row r="65" spans="3:33" x14ac:dyDescent="0.25">
      <c r="C65" s="16"/>
      <c r="E65" s="16"/>
      <c r="G65" s="17"/>
      <c r="I65" s="16"/>
      <c r="K65" s="16"/>
      <c r="O65" s="16"/>
      <c r="P65" s="17"/>
      <c r="Q65" s="16"/>
      <c r="AG65" s="17"/>
    </row>
    <row r="66" spans="3:33" x14ac:dyDescent="0.25">
      <c r="C66" s="16"/>
      <c r="E66" s="16"/>
      <c r="G66" s="17"/>
      <c r="I66" s="16"/>
      <c r="K66" s="16"/>
      <c r="O66" s="16"/>
      <c r="P66" s="17"/>
      <c r="Q66" s="16"/>
      <c r="AG66" s="17"/>
    </row>
    <row r="67" spans="3:33" x14ac:dyDescent="0.25">
      <c r="C67" s="16"/>
      <c r="E67" s="16"/>
      <c r="G67" s="17"/>
      <c r="I67" s="16"/>
      <c r="K67" s="16"/>
      <c r="O67" s="16"/>
      <c r="P67" s="17"/>
      <c r="Q67" s="16"/>
      <c r="AG67" s="17"/>
    </row>
    <row r="68" spans="3:33" x14ac:dyDescent="0.25">
      <c r="C68" s="16"/>
      <c r="E68" s="16"/>
      <c r="G68" s="17"/>
      <c r="I68" s="16"/>
      <c r="K68" s="16"/>
      <c r="O68" s="16"/>
      <c r="P68" s="17"/>
      <c r="Q68" s="16"/>
      <c r="AG68" s="17"/>
    </row>
    <row r="69" spans="3:33" x14ac:dyDescent="0.25">
      <c r="I69" s="16"/>
      <c r="K69" s="16"/>
      <c r="L69" s="17"/>
      <c r="N69" s="17"/>
      <c r="O69" s="16"/>
      <c r="Q69" s="16"/>
      <c r="R69" s="17"/>
      <c r="AG69" s="17"/>
    </row>
    <row r="70" spans="3:33" x14ac:dyDescent="0.25">
      <c r="I70" s="16"/>
      <c r="K70" s="16"/>
      <c r="L70" s="17"/>
      <c r="N70" s="17"/>
      <c r="O70" s="16"/>
      <c r="Q70" s="16"/>
      <c r="R70" s="17"/>
      <c r="AG70" s="17"/>
    </row>
    <row r="71" spans="3:33" x14ac:dyDescent="0.25">
      <c r="I71" s="16"/>
      <c r="K71" s="16"/>
      <c r="L71" s="17"/>
      <c r="N71" s="17"/>
      <c r="O71" s="16"/>
      <c r="Q71" s="16"/>
      <c r="R71" s="17"/>
      <c r="AG71" s="17"/>
    </row>
    <row r="72" spans="3:33" x14ac:dyDescent="0.25">
      <c r="I72" s="16"/>
      <c r="K72" s="16"/>
      <c r="L72" s="17"/>
      <c r="N72" s="17"/>
      <c r="O72" s="16"/>
      <c r="Q72" s="16"/>
      <c r="R72" s="17"/>
      <c r="AG72" s="17"/>
    </row>
    <row r="73" spans="3:33" x14ac:dyDescent="0.25">
      <c r="I73" s="16"/>
      <c r="K73" s="16"/>
      <c r="L73" s="17"/>
      <c r="N73" s="17"/>
      <c r="O73" s="16"/>
      <c r="Q73" s="16"/>
      <c r="R73" s="17"/>
      <c r="AG73" s="17"/>
    </row>
    <row r="74" spans="3:33" x14ac:dyDescent="0.25">
      <c r="I74" s="16"/>
      <c r="K74" s="16"/>
      <c r="L74" s="17"/>
      <c r="N74" s="17"/>
      <c r="O74" s="16"/>
      <c r="Q74" s="16"/>
      <c r="R74" s="17"/>
      <c r="AG74" s="17"/>
    </row>
    <row r="75" spans="3:33" x14ac:dyDescent="0.25">
      <c r="I75" s="16"/>
      <c r="K75" s="16"/>
      <c r="L75" s="17"/>
      <c r="N75" s="17"/>
      <c r="O75" s="16"/>
      <c r="Q75" s="16"/>
      <c r="R75" s="17"/>
      <c r="AG75" s="17"/>
    </row>
    <row r="76" spans="3:33" x14ac:dyDescent="0.25">
      <c r="I76" s="16"/>
      <c r="K76" s="16"/>
      <c r="L76" s="17"/>
      <c r="N76" s="17"/>
      <c r="O76" s="16"/>
      <c r="Q76" s="16"/>
      <c r="R76" s="17"/>
      <c r="AG76" s="17"/>
    </row>
    <row r="77" spans="3:33" x14ac:dyDescent="0.25">
      <c r="I77" s="16"/>
      <c r="K77" s="16"/>
      <c r="L77" s="17"/>
      <c r="N77" s="17"/>
      <c r="O77" s="16"/>
      <c r="Q77" s="16"/>
      <c r="R77" s="17"/>
      <c r="AG77" s="17"/>
    </row>
    <row r="78" spans="3:33" x14ac:dyDescent="0.25">
      <c r="I78" s="16"/>
      <c r="K78" s="16"/>
      <c r="L78" s="17"/>
      <c r="N78" s="17"/>
      <c r="O78" s="16"/>
      <c r="Q78" s="16"/>
      <c r="R78" s="17"/>
      <c r="AG78" s="17"/>
    </row>
    <row r="79" spans="3:33" x14ac:dyDescent="0.25">
      <c r="I79" s="16"/>
      <c r="K79" s="16"/>
      <c r="L79" s="17"/>
      <c r="N79" s="17"/>
      <c r="O79" s="16"/>
      <c r="Q79" s="16"/>
      <c r="R79" s="17"/>
      <c r="AG79" s="17"/>
    </row>
    <row r="80" spans="3:33" x14ac:dyDescent="0.25">
      <c r="I80" s="16"/>
      <c r="K80" s="16"/>
      <c r="L80" s="17"/>
      <c r="N80" s="17"/>
      <c r="O80" s="16"/>
      <c r="Q80" s="16"/>
      <c r="R80" s="17"/>
      <c r="AG80" s="17"/>
    </row>
    <row r="81" spans="9:33" x14ac:dyDescent="0.25">
      <c r="I81" s="16"/>
      <c r="K81" s="16"/>
      <c r="L81" s="17"/>
      <c r="N81" s="17"/>
      <c r="O81" s="16"/>
      <c r="Q81" s="16"/>
      <c r="R81" s="17"/>
      <c r="AG81" s="17"/>
    </row>
    <row r="82" spans="9:33" x14ac:dyDescent="0.25">
      <c r="I82" s="16"/>
      <c r="K82" s="16"/>
      <c r="L82" s="17"/>
      <c r="N82" s="17"/>
      <c r="O82" s="16"/>
      <c r="Q82" s="16"/>
      <c r="R82" s="17"/>
      <c r="AG82" s="17"/>
    </row>
    <row r="83" spans="9:33" x14ac:dyDescent="0.25">
      <c r="I83" s="16"/>
      <c r="K83" s="16"/>
      <c r="L83" s="17"/>
      <c r="N83" s="17"/>
      <c r="O83" s="16"/>
      <c r="Q83" s="16"/>
      <c r="R83" s="17"/>
      <c r="AG83" s="17"/>
    </row>
    <row r="84" spans="9:33" x14ac:dyDescent="0.25">
      <c r="I84" s="16"/>
      <c r="K84" s="16"/>
      <c r="L84" s="17"/>
      <c r="N84" s="17"/>
      <c r="O84" s="16"/>
      <c r="Q84" s="16"/>
      <c r="R84" s="17"/>
      <c r="AG84" s="17"/>
    </row>
    <row r="85" spans="9:33" x14ac:dyDescent="0.25">
      <c r="I85" s="16"/>
      <c r="K85" s="16"/>
      <c r="L85" s="17"/>
      <c r="N85" s="17"/>
      <c r="O85" s="16"/>
      <c r="Q85" s="16"/>
      <c r="R85" s="17"/>
      <c r="AG85" s="17"/>
    </row>
    <row r="86" spans="9:33" x14ac:dyDescent="0.25">
      <c r="I86" s="16"/>
      <c r="K86" s="16"/>
      <c r="L86" s="17"/>
      <c r="N86" s="17"/>
      <c r="O86" s="16"/>
      <c r="Q86" s="16"/>
      <c r="R86" s="17"/>
      <c r="AG86" s="17"/>
    </row>
    <row r="87" spans="9:33" x14ac:dyDescent="0.25">
      <c r="I87" s="16"/>
      <c r="K87" s="16"/>
      <c r="L87" s="17"/>
      <c r="N87" s="17"/>
      <c r="O87" s="16"/>
      <c r="Q87" s="16"/>
      <c r="R87" s="17"/>
      <c r="AG87" s="17"/>
    </row>
    <row r="88" spans="9:33" x14ac:dyDescent="0.25">
      <c r="I88" s="16"/>
      <c r="K88" s="16"/>
      <c r="L88" s="17"/>
      <c r="N88" s="17"/>
      <c r="O88" s="16"/>
      <c r="Q88" s="16"/>
      <c r="R88" s="17"/>
      <c r="AG88" s="17"/>
    </row>
    <row r="89" spans="9:33" x14ac:dyDescent="0.25">
      <c r="I89" s="16"/>
      <c r="K89" s="16"/>
      <c r="L89" s="17"/>
      <c r="N89" s="17"/>
      <c r="O89" s="16"/>
      <c r="Q89" s="16"/>
      <c r="R89" s="17"/>
      <c r="AG89" s="17"/>
    </row>
    <row r="90" spans="9:33" x14ac:dyDescent="0.25">
      <c r="I90" s="16"/>
      <c r="K90" s="16"/>
      <c r="L90" s="17"/>
      <c r="N90" s="17"/>
      <c r="O90" s="16"/>
      <c r="Q90" s="16"/>
      <c r="R90" s="17"/>
      <c r="AG90" s="17"/>
    </row>
    <row r="91" spans="9:33" x14ac:dyDescent="0.25">
      <c r="I91" s="16"/>
      <c r="K91" s="16"/>
      <c r="L91" s="17"/>
      <c r="N91" s="17"/>
      <c r="O91" s="16"/>
      <c r="Q91" s="16"/>
      <c r="R91" s="17"/>
      <c r="AG91" s="17"/>
    </row>
    <row r="92" spans="9:33" x14ac:dyDescent="0.25">
      <c r="I92" s="16"/>
      <c r="K92" s="16"/>
      <c r="L92" s="17"/>
      <c r="N92" s="17"/>
      <c r="O92" s="16"/>
      <c r="Q92" s="16"/>
      <c r="R92" s="17"/>
      <c r="AG92" s="17"/>
    </row>
    <row r="93" spans="9:33" x14ac:dyDescent="0.25">
      <c r="I93" s="16"/>
      <c r="K93" s="16"/>
      <c r="L93" s="17"/>
      <c r="N93" s="17"/>
      <c r="O93" s="16"/>
      <c r="Q93" s="16"/>
      <c r="R93" s="17"/>
      <c r="AG93" s="17"/>
    </row>
    <row r="94" spans="9:33" x14ac:dyDescent="0.25">
      <c r="I94" s="16"/>
      <c r="K94" s="16"/>
      <c r="L94" s="17"/>
      <c r="N94" s="17"/>
      <c r="O94" s="16"/>
      <c r="Q94" s="16"/>
      <c r="R94" s="17"/>
      <c r="AG94" s="17"/>
    </row>
    <row r="95" spans="9:33" x14ac:dyDescent="0.25">
      <c r="I95" s="16"/>
      <c r="K95" s="16"/>
      <c r="L95" s="17"/>
      <c r="N95" s="17"/>
      <c r="O95" s="16"/>
      <c r="Q95" s="16"/>
      <c r="R95" s="17"/>
      <c r="AG95" s="17"/>
    </row>
    <row r="96" spans="9:33" x14ac:dyDescent="0.25">
      <c r="I96" s="16"/>
      <c r="K96" s="16"/>
      <c r="L96" s="17"/>
      <c r="N96" s="17"/>
      <c r="O96" s="16"/>
      <c r="Q96" s="16"/>
      <c r="R96" s="17"/>
      <c r="AG96" s="17"/>
    </row>
    <row r="97" spans="9:33" x14ac:dyDescent="0.25">
      <c r="I97" s="16"/>
      <c r="K97" s="16"/>
      <c r="L97" s="17"/>
      <c r="N97" s="17"/>
      <c r="O97" s="16"/>
      <c r="Q97" s="16"/>
      <c r="R97" s="17"/>
      <c r="AG97" s="17"/>
    </row>
    <row r="98" spans="9:33" x14ac:dyDescent="0.25">
      <c r="I98" s="16"/>
      <c r="K98" s="16"/>
      <c r="L98" s="17"/>
      <c r="N98" s="17"/>
      <c r="O98" s="16"/>
      <c r="Q98" s="16"/>
      <c r="R98" s="17"/>
      <c r="AG98" s="17"/>
    </row>
    <row r="99" spans="9:33" x14ac:dyDescent="0.25">
      <c r="I99" s="16"/>
      <c r="K99" s="16"/>
      <c r="L99" s="17"/>
      <c r="N99" s="17"/>
      <c r="O99" s="16"/>
      <c r="Q99" s="16"/>
      <c r="R99" s="17"/>
      <c r="AG99" s="17"/>
    </row>
    <row r="100" spans="9:33" x14ac:dyDescent="0.25">
      <c r="I100" s="16"/>
      <c r="K100" s="16"/>
      <c r="L100" s="17"/>
      <c r="N100" s="17"/>
      <c r="O100" s="16"/>
      <c r="Q100" s="16"/>
      <c r="R100" s="17"/>
      <c r="AG100" s="17"/>
    </row>
    <row r="101" spans="9:33" x14ac:dyDescent="0.25">
      <c r="I101" s="16"/>
      <c r="K101" s="16"/>
      <c r="L101" s="17"/>
      <c r="N101" s="17"/>
      <c r="O101" s="16"/>
      <c r="Q101" s="16"/>
      <c r="R101" s="17"/>
      <c r="AG101" s="17"/>
    </row>
    <row r="102" spans="9:33" x14ac:dyDescent="0.25">
      <c r="I102" s="16"/>
      <c r="K102" s="16"/>
      <c r="L102" s="17"/>
      <c r="N102" s="17"/>
      <c r="O102" s="16"/>
      <c r="Q102" s="16"/>
      <c r="R102" s="17"/>
      <c r="AG102" s="17"/>
    </row>
    <row r="103" spans="9:33" x14ac:dyDescent="0.25">
      <c r="I103" s="16"/>
      <c r="K103" s="16"/>
      <c r="L103" s="17"/>
      <c r="N103" s="17"/>
      <c r="O103" s="16"/>
      <c r="Q103" s="16"/>
      <c r="R103" s="17"/>
      <c r="AG103" s="17"/>
    </row>
    <row r="104" spans="9:33" x14ac:dyDescent="0.25">
      <c r="I104" s="16"/>
      <c r="K104" s="16"/>
      <c r="L104" s="17"/>
      <c r="N104" s="17"/>
      <c r="O104" s="16"/>
      <c r="Q104" s="16"/>
      <c r="R104" s="17"/>
      <c r="AG104" s="17"/>
    </row>
    <row r="105" spans="9:33" x14ac:dyDescent="0.25">
      <c r="I105" s="16"/>
      <c r="K105" s="16"/>
      <c r="L105" s="17"/>
      <c r="N105" s="17"/>
      <c r="O105" s="16"/>
      <c r="Q105" s="16"/>
      <c r="R105" s="17"/>
      <c r="AG105" s="17"/>
    </row>
    <row r="106" spans="9:33" x14ac:dyDescent="0.25">
      <c r="I106" s="16"/>
      <c r="K106" s="16"/>
      <c r="L106" s="17"/>
      <c r="N106" s="17"/>
      <c r="O106" s="16"/>
      <c r="Q106" s="16"/>
      <c r="R106" s="17"/>
      <c r="AG106" s="17"/>
    </row>
    <row r="107" spans="9:33" x14ac:dyDescent="0.25">
      <c r="I107" s="16"/>
      <c r="K107" s="16"/>
      <c r="L107" s="17"/>
      <c r="N107" s="17"/>
      <c r="O107" s="16"/>
      <c r="Q107" s="16"/>
      <c r="R107" s="17"/>
      <c r="AG107" s="17"/>
    </row>
    <row r="108" spans="9:33" x14ac:dyDescent="0.25">
      <c r="I108" s="16"/>
      <c r="K108" s="16"/>
      <c r="L108" s="17"/>
      <c r="N108" s="17"/>
      <c r="O108" s="16"/>
      <c r="Q108" s="16"/>
      <c r="R108" s="17"/>
      <c r="AG108" s="17"/>
    </row>
    <row r="109" spans="9:33" x14ac:dyDescent="0.25">
      <c r="I109" s="16"/>
      <c r="K109" s="16"/>
      <c r="L109" s="17"/>
      <c r="N109" s="17"/>
      <c r="O109" s="16"/>
      <c r="Q109" s="16"/>
      <c r="R109" s="17"/>
      <c r="AG109" s="17"/>
    </row>
    <row r="110" spans="9:33" x14ac:dyDescent="0.25">
      <c r="I110" s="16"/>
      <c r="K110" s="16"/>
      <c r="L110" s="17"/>
      <c r="N110" s="17"/>
      <c r="O110" s="16"/>
      <c r="Q110" s="16"/>
      <c r="R110" s="17"/>
      <c r="AG110" s="17"/>
    </row>
    <row r="111" spans="9:33" x14ac:dyDescent="0.25">
      <c r="I111" s="16"/>
      <c r="K111" s="16"/>
      <c r="L111" s="17"/>
      <c r="N111" s="17"/>
      <c r="O111" s="16"/>
      <c r="Q111" s="16"/>
      <c r="R111" s="17"/>
      <c r="AG111" s="17"/>
    </row>
    <row r="112" spans="9:33" x14ac:dyDescent="0.25">
      <c r="I112" s="16"/>
      <c r="K112" s="16"/>
      <c r="L112" s="17"/>
      <c r="N112" s="17"/>
      <c r="O112" s="16"/>
      <c r="Q112" s="16"/>
      <c r="R112" s="17"/>
      <c r="AG112" s="17"/>
    </row>
    <row r="113" spans="9:33" x14ac:dyDescent="0.25">
      <c r="I113" s="16"/>
      <c r="K113" s="16"/>
      <c r="L113" s="17"/>
      <c r="N113" s="17"/>
      <c r="O113" s="16"/>
      <c r="Q113" s="16"/>
      <c r="R113" s="17"/>
      <c r="AG113" s="17"/>
    </row>
    <row r="114" spans="9:33" x14ac:dyDescent="0.25">
      <c r="I114" s="16"/>
      <c r="K114" s="16"/>
      <c r="L114" s="17"/>
      <c r="N114" s="17"/>
      <c r="O114" s="16"/>
      <c r="Q114" s="16"/>
      <c r="R114" s="17"/>
      <c r="AG114" s="17"/>
    </row>
    <row r="115" spans="9:33" x14ac:dyDescent="0.25">
      <c r="I115" s="16"/>
      <c r="K115" s="16"/>
      <c r="L115" s="17"/>
      <c r="N115" s="17"/>
      <c r="O115" s="16"/>
      <c r="Q115" s="16"/>
      <c r="R115" s="17"/>
      <c r="AG115" s="17"/>
    </row>
    <row r="116" spans="9:33" x14ac:dyDescent="0.25">
      <c r="I116" s="16"/>
      <c r="K116" s="16"/>
      <c r="L116" s="17"/>
      <c r="N116" s="17"/>
      <c r="O116" s="16"/>
      <c r="Q116" s="16"/>
      <c r="R116" s="17"/>
      <c r="AG116" s="17"/>
    </row>
    <row r="117" spans="9:33" x14ac:dyDescent="0.25">
      <c r="I117" s="16"/>
      <c r="K117" s="16"/>
      <c r="L117" s="17"/>
      <c r="N117" s="17"/>
      <c r="O117" s="16"/>
      <c r="Q117" s="16"/>
      <c r="R117" s="17"/>
      <c r="AG117" s="17"/>
    </row>
    <row r="118" spans="9:33" x14ac:dyDescent="0.25">
      <c r="I118" s="16"/>
      <c r="K118" s="16"/>
      <c r="L118" s="17"/>
      <c r="N118" s="17"/>
      <c r="O118" s="16"/>
      <c r="Q118" s="16"/>
      <c r="R118" s="17"/>
      <c r="AG118" s="17"/>
    </row>
    <row r="119" spans="9:33" x14ac:dyDescent="0.25">
      <c r="I119" s="16"/>
      <c r="K119" s="16"/>
      <c r="L119" s="17"/>
      <c r="N119" s="17"/>
      <c r="O119" s="16"/>
      <c r="Q119" s="16"/>
      <c r="R119" s="17"/>
      <c r="AG119" s="17"/>
    </row>
    <row r="120" spans="9:33" x14ac:dyDescent="0.25">
      <c r="I120" s="16"/>
      <c r="K120" s="16"/>
      <c r="L120" s="17"/>
      <c r="N120" s="17"/>
      <c r="O120" s="16"/>
      <c r="Q120" s="16"/>
      <c r="R120" s="17"/>
      <c r="AG120" s="17"/>
    </row>
    <row r="121" spans="9:33" x14ac:dyDescent="0.25">
      <c r="I121" s="16"/>
      <c r="K121" s="16"/>
      <c r="L121" s="17"/>
      <c r="N121" s="17"/>
      <c r="O121" s="16"/>
      <c r="Q121" s="16"/>
      <c r="R121" s="17"/>
      <c r="AG121" s="17"/>
    </row>
    <row r="122" spans="9:33" x14ac:dyDescent="0.25">
      <c r="I122" s="16"/>
      <c r="K122" s="16"/>
      <c r="L122" s="17"/>
      <c r="N122" s="17"/>
      <c r="O122" s="16"/>
      <c r="Q122" s="16"/>
      <c r="R122" s="17"/>
      <c r="AG122" s="17"/>
    </row>
    <row r="123" spans="9:33" x14ac:dyDescent="0.25">
      <c r="I123" s="16"/>
      <c r="K123" s="16"/>
      <c r="L123" s="17"/>
      <c r="N123" s="17"/>
      <c r="O123" s="16"/>
      <c r="Q123" s="16"/>
      <c r="R123" s="17"/>
      <c r="AG123" s="17"/>
    </row>
    <row r="124" spans="9:33" x14ac:dyDescent="0.25">
      <c r="I124" s="16"/>
      <c r="K124" s="16"/>
      <c r="L124" s="17"/>
      <c r="N124" s="17"/>
      <c r="O124" s="16"/>
      <c r="Q124" s="16"/>
      <c r="R124" s="17"/>
      <c r="AG124" s="17"/>
    </row>
    <row r="125" spans="9:33" x14ac:dyDescent="0.25">
      <c r="I125" s="16"/>
      <c r="K125" s="16"/>
      <c r="L125" s="17"/>
      <c r="N125" s="17"/>
      <c r="O125" s="16"/>
      <c r="Q125" s="16"/>
      <c r="R125" s="17"/>
      <c r="AG125" s="17"/>
    </row>
    <row r="126" spans="9:33" x14ac:dyDescent="0.25">
      <c r="I126" s="16"/>
      <c r="K126" s="16"/>
      <c r="L126" s="17"/>
      <c r="N126" s="17"/>
      <c r="O126" s="16"/>
      <c r="Q126" s="16"/>
      <c r="R126" s="17"/>
      <c r="AG126" s="17"/>
    </row>
    <row r="127" spans="9:33" x14ac:dyDescent="0.25">
      <c r="I127" s="16"/>
      <c r="K127" s="16"/>
      <c r="L127" s="17"/>
      <c r="N127" s="17"/>
      <c r="O127" s="16"/>
      <c r="Q127" s="16"/>
      <c r="R127" s="17"/>
      <c r="AG127" s="17"/>
    </row>
    <row r="128" spans="9:33" x14ac:dyDescent="0.25">
      <c r="I128" s="16"/>
      <c r="K128" s="16"/>
      <c r="L128" s="17"/>
      <c r="N128" s="17"/>
      <c r="O128" s="16"/>
      <c r="Q128" s="16"/>
      <c r="R128" s="17"/>
      <c r="AG128" s="17"/>
    </row>
    <row r="129" spans="9:33" x14ac:dyDescent="0.25">
      <c r="I129" s="16"/>
      <c r="K129" s="16"/>
      <c r="L129" s="17"/>
      <c r="N129" s="17"/>
      <c r="O129" s="16"/>
      <c r="Q129" s="16"/>
      <c r="R129" s="17"/>
      <c r="AG129" s="17"/>
    </row>
    <row r="130" spans="9:33" x14ac:dyDescent="0.25">
      <c r="I130" s="16"/>
      <c r="K130" s="16"/>
      <c r="L130" s="17"/>
      <c r="N130" s="17"/>
      <c r="O130" s="16"/>
      <c r="Q130" s="16"/>
      <c r="R130" s="17"/>
      <c r="AG130" s="17"/>
    </row>
    <row r="131" spans="9:33" x14ac:dyDescent="0.25">
      <c r="I131" s="16"/>
      <c r="K131" s="16"/>
      <c r="L131" s="17"/>
      <c r="N131" s="17"/>
      <c r="O131" s="16"/>
      <c r="Q131" s="16"/>
      <c r="R131" s="17"/>
      <c r="AG131" s="17"/>
    </row>
    <row r="132" spans="9:33" x14ac:dyDescent="0.25">
      <c r="I132" s="16"/>
      <c r="K132" s="16"/>
      <c r="L132" s="17"/>
      <c r="N132" s="17"/>
      <c r="O132" s="16"/>
      <c r="Q132" s="16"/>
      <c r="R132" s="17"/>
      <c r="AG132" s="17"/>
    </row>
    <row r="133" spans="9:33" x14ac:dyDescent="0.25">
      <c r="I133" s="16"/>
      <c r="K133" s="16"/>
      <c r="L133" s="17"/>
      <c r="N133" s="17"/>
      <c r="O133" s="16"/>
      <c r="Q133" s="16"/>
      <c r="R133" s="17"/>
      <c r="AG133" s="17"/>
    </row>
    <row r="134" spans="9:33" x14ac:dyDescent="0.25">
      <c r="I134" s="16"/>
      <c r="K134" s="16"/>
      <c r="L134" s="17"/>
      <c r="N134" s="17"/>
      <c r="O134" s="16"/>
      <c r="Q134" s="16"/>
      <c r="R134" s="17"/>
      <c r="AG134" s="17"/>
    </row>
    <row r="135" spans="9:33" x14ac:dyDescent="0.25">
      <c r="I135" s="16"/>
      <c r="K135" s="16"/>
      <c r="L135" s="17"/>
      <c r="N135" s="17"/>
      <c r="O135" s="16"/>
      <c r="Q135" s="16"/>
      <c r="R135" s="17"/>
      <c r="AG135" s="17"/>
    </row>
    <row r="136" spans="9:33" x14ac:dyDescent="0.25">
      <c r="I136" s="16"/>
      <c r="K136" s="16"/>
      <c r="L136" s="17"/>
      <c r="N136" s="17"/>
      <c r="O136" s="16"/>
      <c r="Q136" s="16"/>
      <c r="R136" s="17"/>
      <c r="AG136" s="17"/>
    </row>
    <row r="137" spans="9:33" x14ac:dyDescent="0.25">
      <c r="I137" s="16"/>
      <c r="K137" s="16"/>
      <c r="L137" s="17"/>
      <c r="N137" s="17"/>
      <c r="O137" s="16"/>
      <c r="Q137" s="16"/>
      <c r="R137" s="17"/>
      <c r="AG137" s="17"/>
    </row>
    <row r="138" spans="9:33" x14ac:dyDescent="0.25">
      <c r="I138" s="16"/>
      <c r="K138" s="16"/>
      <c r="L138" s="17"/>
      <c r="N138" s="17"/>
      <c r="O138" s="16"/>
      <c r="Q138" s="16"/>
      <c r="R138" s="17"/>
      <c r="AG138" s="17"/>
    </row>
    <row r="139" spans="9:33" x14ac:dyDescent="0.25">
      <c r="I139" s="16"/>
      <c r="K139" s="16"/>
      <c r="L139" s="17"/>
      <c r="N139" s="17"/>
      <c r="O139" s="16"/>
      <c r="Q139" s="16"/>
      <c r="R139" s="17"/>
      <c r="AG139" s="17"/>
    </row>
    <row r="140" spans="9:33" x14ac:dyDescent="0.25">
      <c r="I140" s="16"/>
      <c r="K140" s="16"/>
      <c r="L140" s="17"/>
      <c r="N140" s="17"/>
      <c r="O140" s="16"/>
      <c r="Q140" s="16"/>
      <c r="R140" s="17"/>
      <c r="AG140" s="17"/>
    </row>
    <row r="141" spans="9:33" x14ac:dyDescent="0.25">
      <c r="I141" s="16"/>
      <c r="K141" s="16"/>
      <c r="L141" s="17"/>
      <c r="N141" s="17"/>
      <c r="O141" s="16"/>
      <c r="Q141" s="16"/>
      <c r="R141" s="17"/>
      <c r="AG141" s="17"/>
    </row>
    <row r="142" spans="9:33" x14ac:dyDescent="0.25">
      <c r="I142" s="16"/>
      <c r="K142" s="16"/>
      <c r="L142" s="17"/>
      <c r="N142" s="17"/>
      <c r="O142" s="16"/>
      <c r="Q142" s="16"/>
      <c r="R142" s="17"/>
      <c r="AG142" s="17"/>
    </row>
    <row r="143" spans="9:33" x14ac:dyDescent="0.25">
      <c r="I143" s="16"/>
      <c r="K143" s="16"/>
      <c r="L143" s="17"/>
      <c r="N143" s="17"/>
      <c r="O143" s="16"/>
      <c r="Q143" s="16"/>
      <c r="R143" s="17"/>
      <c r="AG143" s="17"/>
    </row>
    <row r="144" spans="9:33" x14ac:dyDescent="0.25">
      <c r="I144" s="16"/>
      <c r="K144" s="16"/>
      <c r="L144" s="17"/>
      <c r="N144" s="17"/>
      <c r="O144" s="16"/>
      <c r="Q144" s="16"/>
      <c r="R144" s="17"/>
      <c r="AG144" s="17"/>
    </row>
    <row r="145" spans="9:33" x14ac:dyDescent="0.25">
      <c r="I145" s="16"/>
      <c r="K145" s="16"/>
      <c r="L145" s="17"/>
      <c r="N145" s="17"/>
      <c r="O145" s="16"/>
      <c r="Q145" s="16"/>
      <c r="R145" s="17"/>
      <c r="AG145" s="17"/>
    </row>
    <row r="146" spans="9:33" x14ac:dyDescent="0.25">
      <c r="I146" s="16"/>
      <c r="K146" s="16"/>
      <c r="L146" s="17"/>
      <c r="N146" s="17"/>
      <c r="O146" s="16"/>
      <c r="Q146" s="16"/>
      <c r="R146" s="17"/>
      <c r="AG146" s="17"/>
    </row>
    <row r="147" spans="9:33" x14ac:dyDescent="0.25">
      <c r="I147" s="16"/>
      <c r="K147" s="16"/>
      <c r="L147" s="17"/>
      <c r="N147" s="17"/>
      <c r="O147" s="16"/>
      <c r="Q147" s="16"/>
      <c r="R147" s="17"/>
      <c r="AG147" s="17"/>
    </row>
    <row r="148" spans="9:33" x14ac:dyDescent="0.25">
      <c r="I148" s="16"/>
      <c r="K148" s="16"/>
      <c r="L148" s="17"/>
      <c r="N148" s="17"/>
      <c r="O148" s="16"/>
      <c r="Q148" s="16"/>
      <c r="R148" s="17"/>
      <c r="AG148" s="17"/>
    </row>
    <row r="149" spans="9:33" x14ac:dyDescent="0.25">
      <c r="I149" s="16"/>
      <c r="K149" s="16"/>
      <c r="L149" s="17"/>
      <c r="N149" s="17"/>
      <c r="O149" s="16"/>
      <c r="Q149" s="16"/>
      <c r="R149" s="17"/>
      <c r="AG149" s="17"/>
    </row>
    <row r="150" spans="9:33" x14ac:dyDescent="0.25">
      <c r="I150" s="16"/>
      <c r="K150" s="16"/>
      <c r="L150" s="17"/>
      <c r="N150" s="17"/>
      <c r="O150" s="16"/>
      <c r="Q150" s="16"/>
      <c r="R150" s="17"/>
      <c r="AG150" s="17"/>
    </row>
    <row r="151" spans="9:33" x14ac:dyDescent="0.25">
      <c r="I151" s="16"/>
      <c r="K151" s="16"/>
      <c r="L151" s="17"/>
      <c r="N151" s="17"/>
      <c r="O151" s="16"/>
      <c r="Q151" s="16"/>
      <c r="R151" s="17"/>
      <c r="AG151" s="17"/>
    </row>
    <row r="152" spans="9:33" x14ac:dyDescent="0.25">
      <c r="I152" s="16"/>
      <c r="K152" s="16"/>
      <c r="L152" s="17"/>
      <c r="N152" s="17"/>
      <c r="O152" s="16"/>
      <c r="Q152" s="16"/>
      <c r="R152" s="17"/>
      <c r="AG152" s="17"/>
    </row>
    <row r="153" spans="9:33" x14ac:dyDescent="0.25">
      <c r="I153" s="16"/>
      <c r="K153" s="16"/>
      <c r="L153" s="17"/>
      <c r="N153" s="17"/>
      <c r="O153" s="16"/>
      <c r="Q153" s="16"/>
      <c r="R153" s="17"/>
      <c r="AG153" s="17"/>
    </row>
    <row r="154" spans="9:33" x14ac:dyDescent="0.25">
      <c r="I154" s="16"/>
      <c r="K154" s="16"/>
      <c r="L154" s="17"/>
      <c r="N154" s="17"/>
      <c r="O154" s="16"/>
      <c r="Q154" s="16"/>
      <c r="R154" s="17"/>
      <c r="AG154" s="17"/>
    </row>
    <row r="155" spans="9:33" x14ac:dyDescent="0.25">
      <c r="I155" s="16"/>
      <c r="K155" s="16"/>
      <c r="L155" s="17"/>
      <c r="N155" s="17"/>
      <c r="O155" s="16"/>
      <c r="Q155" s="16"/>
      <c r="R155" s="17"/>
      <c r="AG155" s="17"/>
    </row>
    <row r="156" spans="9:33" x14ac:dyDescent="0.25">
      <c r="I156" s="16"/>
      <c r="K156" s="16"/>
      <c r="L156" s="17"/>
      <c r="N156" s="17"/>
      <c r="O156" s="16"/>
      <c r="Q156" s="16"/>
      <c r="R156" s="17"/>
      <c r="AG156" s="17"/>
    </row>
    <row r="157" spans="9:33" x14ac:dyDescent="0.25">
      <c r="I157" s="16"/>
      <c r="K157" s="16"/>
      <c r="L157" s="17"/>
      <c r="N157" s="17"/>
      <c r="O157" s="16"/>
      <c r="Q157" s="16"/>
      <c r="R157" s="17"/>
      <c r="AG157" s="17"/>
    </row>
    <row r="158" spans="9:33" x14ac:dyDescent="0.25">
      <c r="I158" s="16"/>
      <c r="K158" s="16"/>
      <c r="L158" s="17"/>
      <c r="N158" s="17"/>
      <c r="O158" s="16"/>
      <c r="Q158" s="16"/>
      <c r="R158" s="17"/>
      <c r="AG158" s="17"/>
    </row>
  </sheetData>
  <mergeCells count="14">
    <mergeCell ref="A1:E1"/>
    <mergeCell ref="F1:M1"/>
    <mergeCell ref="N1:AK1"/>
    <mergeCell ref="B3:G3"/>
    <mergeCell ref="H3:M3"/>
    <mergeCell ref="N3:S3"/>
    <mergeCell ref="T3:Y3"/>
    <mergeCell ref="AF3:AK3"/>
    <mergeCell ref="Z3:AE3"/>
    <mergeCell ref="AB25:AC25"/>
    <mergeCell ref="AB26:AC26"/>
    <mergeCell ref="Y24:AC24"/>
    <mergeCell ref="Y25:AA25"/>
    <mergeCell ref="Y26:AA26"/>
  </mergeCells>
  <conditionalFormatting sqref="AC5:AE12 AI5:AK17 W5:Y18 E5:G22 K5:M22 Q5:S22 E37:F45">
    <cfRule type="cellIs" dxfId="17" priority="10" operator="greaterThan">
      <formula>10</formula>
    </cfRule>
    <cfRule type="cellIs" dxfId="16" priority="11" operator="lessThan">
      <formula>-10</formula>
    </cfRule>
  </conditionalFormatting>
  <conditionalFormatting sqref="AE5:AE12 AK5:AK17 Y5:Y18 G5:G22 M5:M22 S5:S22">
    <cfRule type="cellIs" dxfId="15" priority="3" operator="between">
      <formula>10</formula>
      <formula>-10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D64A-3223-41A2-8A2B-1C97CAF7A07D}">
  <dimension ref="A1:AQ155"/>
  <sheetViews>
    <sheetView workbookViewId="0">
      <selection activeCell="C5" sqref="C5"/>
    </sheetView>
  </sheetViews>
  <sheetFormatPr defaultColWidth="9.140625" defaultRowHeight="15" x14ac:dyDescent="0.25"/>
  <cols>
    <col min="1" max="2" width="6.7109375" style="16" customWidth="1"/>
    <col min="3" max="3" width="6.7109375" style="17" customWidth="1"/>
    <col min="4" max="4" width="6.7109375" style="16" customWidth="1"/>
    <col min="5" max="5" width="6.7109375" style="17" customWidth="1"/>
    <col min="6" max="8" width="6.7109375" style="16" customWidth="1"/>
    <col min="9" max="9" width="6.7109375" style="17" customWidth="1"/>
    <col min="10" max="10" width="6.7109375" style="16" customWidth="1"/>
    <col min="11" max="11" width="6.7109375" style="17" customWidth="1"/>
    <col min="12" max="14" width="6.7109375" style="16" customWidth="1"/>
    <col min="15" max="15" width="6.7109375" style="17" customWidth="1"/>
    <col min="16" max="16" width="6.7109375" style="16" customWidth="1"/>
    <col min="17" max="17" width="6.7109375" style="17" customWidth="1"/>
    <col min="18" max="37" width="6.7109375" style="16" customWidth="1"/>
    <col min="38" max="16384" width="9.140625" style="16"/>
  </cols>
  <sheetData>
    <row r="1" spans="1:43" ht="39.950000000000003" customHeight="1" x14ac:dyDescent="0.25">
      <c r="A1" s="84"/>
      <c r="B1" s="84"/>
      <c r="C1" s="84"/>
      <c r="D1" s="84"/>
      <c r="E1" s="84"/>
      <c r="F1" s="105"/>
      <c r="G1" s="105"/>
      <c r="H1" s="105"/>
      <c r="I1" s="105"/>
      <c r="J1" s="105"/>
      <c r="K1" s="105"/>
      <c r="L1" s="105"/>
      <c r="M1" s="105"/>
      <c r="N1" s="86" t="s">
        <v>21</v>
      </c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</row>
    <row r="2" spans="1:43" ht="15.75" thickBot="1" x14ac:dyDescent="0.3">
      <c r="A2" s="6"/>
      <c r="B2" s="6"/>
      <c r="C2" s="2"/>
      <c r="D2" s="1"/>
      <c r="E2" s="2"/>
      <c r="F2" s="1"/>
      <c r="G2" s="20"/>
      <c r="H2" s="6"/>
      <c r="I2" s="2"/>
      <c r="J2" s="1"/>
      <c r="K2" s="2"/>
      <c r="L2" s="1"/>
      <c r="M2" s="20"/>
      <c r="N2" s="6"/>
      <c r="O2" s="2"/>
      <c r="P2" s="1"/>
      <c r="Q2" s="2"/>
      <c r="R2" s="1"/>
      <c r="S2" s="20"/>
      <c r="T2" s="20"/>
      <c r="U2" s="20"/>
      <c r="V2" s="20"/>
      <c r="W2" s="20"/>
      <c r="X2" s="20"/>
      <c r="Y2" s="20"/>
      <c r="Z2" s="20"/>
      <c r="AA2" s="6"/>
      <c r="AB2" s="6"/>
      <c r="AC2" s="6"/>
      <c r="AD2" s="6"/>
      <c r="AE2" s="6"/>
      <c r="AF2" s="6"/>
    </row>
    <row r="3" spans="1:43" ht="15.75" thickBot="1" x14ac:dyDescent="0.3">
      <c r="A3" s="12"/>
      <c r="B3" s="87" t="s">
        <v>0</v>
      </c>
      <c r="C3" s="88"/>
      <c r="D3" s="88"/>
      <c r="E3" s="88"/>
      <c r="F3" s="88"/>
      <c r="G3" s="89"/>
      <c r="H3" s="87" t="s">
        <v>1</v>
      </c>
      <c r="I3" s="88"/>
      <c r="J3" s="88"/>
      <c r="K3" s="88"/>
      <c r="L3" s="88"/>
      <c r="M3" s="89"/>
      <c r="N3" s="87" t="s">
        <v>2</v>
      </c>
      <c r="O3" s="88"/>
      <c r="P3" s="88"/>
      <c r="Q3" s="88"/>
      <c r="R3" s="88"/>
      <c r="S3" s="89"/>
      <c r="T3" s="87" t="s">
        <v>3</v>
      </c>
      <c r="U3" s="88"/>
      <c r="V3" s="88"/>
      <c r="W3" s="88"/>
      <c r="X3" s="88"/>
      <c r="Y3" s="89"/>
      <c r="Z3" s="90" t="s">
        <v>13</v>
      </c>
      <c r="AA3" s="91"/>
      <c r="AB3" s="91"/>
      <c r="AC3" s="91"/>
      <c r="AD3" s="91"/>
      <c r="AE3" s="92"/>
      <c r="AG3" s="6"/>
      <c r="AH3" s="13"/>
      <c r="AI3" s="13"/>
      <c r="AJ3" s="13"/>
      <c r="AK3" s="13"/>
    </row>
    <row r="4" spans="1:43" ht="16.5" thickBot="1" x14ac:dyDescent="0.3">
      <c r="A4" s="14"/>
      <c r="B4" s="50" t="s">
        <v>7</v>
      </c>
      <c r="C4" s="49" t="s">
        <v>8</v>
      </c>
      <c r="D4" s="51" t="s">
        <v>9</v>
      </c>
      <c r="E4" s="49" t="s">
        <v>10</v>
      </c>
      <c r="F4" s="51" t="s">
        <v>11</v>
      </c>
      <c r="G4" s="52" t="s">
        <v>12</v>
      </c>
      <c r="H4" s="50" t="s">
        <v>7</v>
      </c>
      <c r="I4" s="49" t="s">
        <v>8</v>
      </c>
      <c r="J4" s="51" t="s">
        <v>9</v>
      </c>
      <c r="K4" s="49" t="s">
        <v>10</v>
      </c>
      <c r="L4" s="51" t="s">
        <v>11</v>
      </c>
      <c r="M4" s="52" t="s">
        <v>12</v>
      </c>
      <c r="N4" s="50" t="s">
        <v>7</v>
      </c>
      <c r="O4" s="49" t="s">
        <v>8</v>
      </c>
      <c r="P4" s="51" t="s">
        <v>9</v>
      </c>
      <c r="Q4" s="49" t="s">
        <v>10</v>
      </c>
      <c r="R4" s="51" t="s">
        <v>11</v>
      </c>
      <c r="S4" s="52" t="s">
        <v>12</v>
      </c>
      <c r="T4" s="50" t="s">
        <v>7</v>
      </c>
      <c r="U4" s="49" t="s">
        <v>8</v>
      </c>
      <c r="V4" s="51" t="s">
        <v>9</v>
      </c>
      <c r="W4" s="49" t="s">
        <v>10</v>
      </c>
      <c r="X4" s="51" t="s">
        <v>11</v>
      </c>
      <c r="Y4" s="52" t="s">
        <v>12</v>
      </c>
      <c r="Z4" s="50" t="s">
        <v>7</v>
      </c>
      <c r="AA4" s="49" t="s">
        <v>8</v>
      </c>
      <c r="AB4" s="51" t="s">
        <v>9</v>
      </c>
      <c r="AC4" s="49" t="s">
        <v>10</v>
      </c>
      <c r="AD4" s="51" t="s">
        <v>11</v>
      </c>
      <c r="AE4" s="52" t="s">
        <v>12</v>
      </c>
      <c r="AG4" s="56"/>
      <c r="AH4" s="61" t="s">
        <v>0</v>
      </c>
      <c r="AI4" s="62" t="s">
        <v>1</v>
      </c>
      <c r="AJ4" s="62" t="s">
        <v>2</v>
      </c>
      <c r="AK4" s="62" t="s">
        <v>3</v>
      </c>
      <c r="AL4" s="63" t="s">
        <v>17</v>
      </c>
    </row>
    <row r="5" spans="1:43" ht="15.75" x14ac:dyDescent="0.25">
      <c r="A5" s="73">
        <v>1</v>
      </c>
      <c r="B5" s="53">
        <f>AH5+$AA$22</f>
        <v>8693.4</v>
      </c>
      <c r="C5" s="54"/>
      <c r="D5" s="54"/>
      <c r="E5" s="47">
        <f>C5-B5</f>
        <v>-8693.4</v>
      </c>
      <c r="F5" s="48">
        <f>D5-B5</f>
        <v>-8693.4</v>
      </c>
      <c r="G5" s="8">
        <f>C5-D5</f>
        <v>0</v>
      </c>
      <c r="H5" s="53">
        <f>AI5+$AA$22</f>
        <v>8595.4</v>
      </c>
      <c r="I5" s="54"/>
      <c r="J5" s="54"/>
      <c r="K5" s="47">
        <f>I5-H5</f>
        <v>-8595.4</v>
      </c>
      <c r="L5" s="48">
        <f>J5-H5</f>
        <v>-8595.4</v>
      </c>
      <c r="M5" s="8">
        <f>I5-J5</f>
        <v>0</v>
      </c>
      <c r="N5" s="53">
        <f>AJ5+$AA$22</f>
        <v>8618.5</v>
      </c>
      <c r="O5" s="54"/>
      <c r="P5" s="54"/>
      <c r="Q5" s="47">
        <f>O5-N5</f>
        <v>-8618.5</v>
      </c>
      <c r="R5" s="48">
        <f>P5-N5</f>
        <v>-8618.5</v>
      </c>
      <c r="S5" s="7">
        <f>O5-P5</f>
        <v>0</v>
      </c>
      <c r="T5" s="46">
        <f>AK5</f>
        <v>8800.2999999999993</v>
      </c>
      <c r="U5" s="75"/>
      <c r="V5" s="54"/>
      <c r="W5" s="47">
        <f>U5-T5</f>
        <v>-8800.2999999999993</v>
      </c>
      <c r="X5" s="48">
        <f>V5-T5</f>
        <v>-8800.2999999999993</v>
      </c>
      <c r="Y5" s="7">
        <f>U5-V5</f>
        <v>0</v>
      </c>
      <c r="Z5" s="46">
        <f>AL5</f>
        <v>9375.9</v>
      </c>
      <c r="AA5" s="54"/>
      <c r="AB5" s="54"/>
      <c r="AC5" s="47">
        <f t="shared" ref="AC5:AC14" si="0">(AA5-Z5)+$AA$23</f>
        <v>-9375.9</v>
      </c>
      <c r="AD5" s="47">
        <f t="shared" ref="AD5:AD14" si="1">(AB5-Z5)+$AA$23</f>
        <v>-9375.9</v>
      </c>
      <c r="AE5" s="8">
        <f>AA5-AB5</f>
        <v>0</v>
      </c>
      <c r="AG5" s="56">
        <v>1</v>
      </c>
      <c r="AH5" s="64">
        <f>'First trim'!AN5</f>
        <v>8693.4</v>
      </c>
      <c r="AI5" s="65">
        <f>'First trim'!AO5</f>
        <v>8595.4</v>
      </c>
      <c r="AJ5" s="64">
        <f>'First trim'!AP5</f>
        <v>8618.5</v>
      </c>
      <c r="AK5" s="64">
        <f>'First trim'!AQ5</f>
        <v>8800.2999999999993</v>
      </c>
      <c r="AL5" s="64">
        <f>'First trim'!AS5</f>
        <v>9375.9</v>
      </c>
    </row>
    <row r="6" spans="1:43" ht="15.75" x14ac:dyDescent="0.25">
      <c r="A6" s="73">
        <v>2</v>
      </c>
      <c r="B6" s="15">
        <f t="shared" ref="B6:B19" si="2">AH6+$AA$22</f>
        <v>8611.7000000000007</v>
      </c>
      <c r="C6" s="72"/>
      <c r="D6" s="72"/>
      <c r="E6" s="2">
        <f t="shared" ref="E6:E19" si="3">C6-B6</f>
        <v>-8611.7000000000007</v>
      </c>
      <c r="F6" s="1">
        <f t="shared" ref="F6:F19" si="4">D6-B6</f>
        <v>-8611.7000000000007</v>
      </c>
      <c r="G6" s="9">
        <f t="shared" ref="G6:G19" si="5">C6-D6</f>
        <v>0</v>
      </c>
      <c r="H6" s="15">
        <f t="shared" ref="H6:H19" si="6">AI6+$AA$22</f>
        <v>8517.1</v>
      </c>
      <c r="I6" s="72"/>
      <c r="J6" s="72"/>
      <c r="K6" s="2">
        <f t="shared" ref="K6:K19" si="7">I6-H6</f>
        <v>-8517.1</v>
      </c>
      <c r="L6" s="1">
        <f t="shared" ref="L6:L19" si="8">J6-H6</f>
        <v>-8517.1</v>
      </c>
      <c r="M6" s="9">
        <f t="shared" ref="M6:M19" si="9">I6-J6</f>
        <v>0</v>
      </c>
      <c r="N6" s="15">
        <f t="shared" ref="N6:N19" si="10">AJ6+$AA$22</f>
        <v>8540.6</v>
      </c>
      <c r="O6" s="72"/>
      <c r="P6" s="72"/>
      <c r="Q6" s="2">
        <f t="shared" ref="Q6:Q19" si="11">O6-N6</f>
        <v>-8540.6</v>
      </c>
      <c r="R6" s="1">
        <f t="shared" ref="R6:R9" si="12">P6-N6</f>
        <v>-8540.6</v>
      </c>
      <c r="S6" s="6">
        <f t="shared" ref="S6:S9" si="13">O6-P6</f>
        <v>0</v>
      </c>
      <c r="T6" s="70">
        <f>AK6</f>
        <v>8711.9</v>
      </c>
      <c r="U6"/>
      <c r="V6" s="72"/>
      <c r="W6" s="2">
        <f t="shared" ref="W6:W12" si="14">U6-T6</f>
        <v>-8711.9</v>
      </c>
      <c r="X6" s="1">
        <f t="shared" ref="X6:X12" si="15">V6-T6</f>
        <v>-8711.9</v>
      </c>
      <c r="Y6" s="6">
        <f t="shared" ref="Y6:Y12" si="16">U6-V6</f>
        <v>0</v>
      </c>
      <c r="Z6" s="70">
        <f>AL6</f>
        <v>9084.9</v>
      </c>
      <c r="AA6" s="72"/>
      <c r="AB6" s="72"/>
      <c r="AC6" s="2">
        <f t="shared" si="0"/>
        <v>-9084.9</v>
      </c>
      <c r="AD6" s="2">
        <f t="shared" si="1"/>
        <v>-9084.9</v>
      </c>
      <c r="AE6" s="9">
        <f t="shared" ref="AE6:AE15" si="17">AA6-AB6</f>
        <v>0</v>
      </c>
      <c r="AG6" s="57">
        <v>2</v>
      </c>
      <c r="AH6" s="27">
        <f>'First trim'!AN6</f>
        <v>8611.7000000000007</v>
      </c>
      <c r="AI6" s="66">
        <f>'First trim'!AO6</f>
        <v>8517.1</v>
      </c>
      <c r="AJ6" s="27">
        <f>'First trim'!AP6</f>
        <v>8540.6</v>
      </c>
      <c r="AK6" s="27">
        <f>'First trim'!AQ6</f>
        <v>8711.9</v>
      </c>
      <c r="AL6" s="27">
        <f>'First trim'!AS6</f>
        <v>9084.9</v>
      </c>
    </row>
    <row r="7" spans="1:43" ht="15.75" x14ac:dyDescent="0.25">
      <c r="A7" s="73">
        <v>3</v>
      </c>
      <c r="B7" s="15">
        <f t="shared" si="2"/>
        <v>8592.2000000000007</v>
      </c>
      <c r="C7" s="72"/>
      <c r="D7" s="72"/>
      <c r="E7" s="2">
        <f t="shared" si="3"/>
        <v>-8592.2000000000007</v>
      </c>
      <c r="F7" s="1">
        <f t="shared" si="4"/>
        <v>-8592.2000000000007</v>
      </c>
      <c r="G7" s="9">
        <f t="shared" si="5"/>
        <v>0</v>
      </c>
      <c r="H7" s="15">
        <f t="shared" si="6"/>
        <v>8495.7999999999993</v>
      </c>
      <c r="I7" s="72"/>
      <c r="J7" s="72"/>
      <c r="K7" s="2">
        <f t="shared" si="7"/>
        <v>-8495.7999999999993</v>
      </c>
      <c r="L7" s="1">
        <f t="shared" si="8"/>
        <v>-8495.7999999999993</v>
      </c>
      <c r="M7" s="9">
        <f t="shared" si="9"/>
        <v>0</v>
      </c>
      <c r="N7" s="15">
        <f t="shared" si="10"/>
        <v>8517.6</v>
      </c>
      <c r="O7" s="72"/>
      <c r="P7" s="72"/>
      <c r="Q7" s="2">
        <f t="shared" si="11"/>
        <v>-8517.6</v>
      </c>
      <c r="R7" s="1">
        <f t="shared" si="12"/>
        <v>-8517.6</v>
      </c>
      <c r="S7" s="6">
        <f t="shared" si="13"/>
        <v>0</v>
      </c>
      <c r="T7" s="70">
        <f t="shared" ref="T7:T12" si="18">AK7</f>
        <v>8672.2000000000007</v>
      </c>
      <c r="U7"/>
      <c r="V7" s="72"/>
      <c r="W7" s="2">
        <f t="shared" si="14"/>
        <v>-8672.2000000000007</v>
      </c>
      <c r="X7" s="1">
        <f t="shared" si="15"/>
        <v>-8672.2000000000007</v>
      </c>
      <c r="Y7" s="6">
        <f t="shared" si="16"/>
        <v>0</v>
      </c>
      <c r="Z7" s="70">
        <f t="shared" ref="Z7:Z14" si="19">AL7</f>
        <v>8909.2000000000007</v>
      </c>
      <c r="AA7" s="72"/>
      <c r="AB7" s="72"/>
      <c r="AC7" s="2">
        <f t="shared" si="0"/>
        <v>-8909.2000000000007</v>
      </c>
      <c r="AD7" s="2">
        <f t="shared" si="1"/>
        <v>-8909.2000000000007</v>
      </c>
      <c r="AE7" s="9">
        <f t="shared" si="17"/>
        <v>0</v>
      </c>
      <c r="AF7" s="22"/>
      <c r="AG7" s="57">
        <v>3</v>
      </c>
      <c r="AH7" s="27">
        <f>'First trim'!AN7</f>
        <v>8592.2000000000007</v>
      </c>
      <c r="AI7" s="66">
        <f>'First trim'!AO7</f>
        <v>8495.7999999999993</v>
      </c>
      <c r="AJ7" s="27">
        <f>'First trim'!AP7</f>
        <v>8517.6</v>
      </c>
      <c r="AK7" s="27">
        <f>'First trim'!AQ7</f>
        <v>8672.2000000000007</v>
      </c>
      <c r="AL7" s="27">
        <f>'First trim'!AS7</f>
        <v>8909.2000000000007</v>
      </c>
      <c r="AM7" s="22"/>
      <c r="AN7" s="23"/>
    </row>
    <row r="8" spans="1:43" ht="15.75" x14ac:dyDescent="0.25">
      <c r="A8" s="73">
        <v>4</v>
      </c>
      <c r="B8" s="15">
        <f t="shared" si="2"/>
        <v>8542.7000000000007</v>
      </c>
      <c r="C8" s="72"/>
      <c r="D8" s="72"/>
      <c r="E8" s="2">
        <f t="shared" si="3"/>
        <v>-8542.7000000000007</v>
      </c>
      <c r="F8" s="1">
        <f t="shared" si="4"/>
        <v>-8542.7000000000007</v>
      </c>
      <c r="G8" s="9">
        <f t="shared" si="5"/>
        <v>0</v>
      </c>
      <c r="H8" s="15">
        <f t="shared" si="6"/>
        <v>8461.7999999999993</v>
      </c>
      <c r="I8" s="72"/>
      <c r="J8" s="72"/>
      <c r="K8" s="2">
        <f t="shared" si="7"/>
        <v>-8461.7999999999993</v>
      </c>
      <c r="L8" s="1">
        <f t="shared" si="8"/>
        <v>-8461.7999999999993</v>
      </c>
      <c r="M8" s="9">
        <f t="shared" si="9"/>
        <v>0</v>
      </c>
      <c r="N8" s="15">
        <f t="shared" si="10"/>
        <v>8507.6</v>
      </c>
      <c r="O8" s="72"/>
      <c r="P8" s="72"/>
      <c r="Q8" s="2">
        <f t="shared" si="11"/>
        <v>-8507.6</v>
      </c>
      <c r="R8" s="1">
        <f t="shared" si="12"/>
        <v>-8507.6</v>
      </c>
      <c r="S8" s="6">
        <f t="shared" si="13"/>
        <v>0</v>
      </c>
      <c r="T8" s="70">
        <f t="shared" si="18"/>
        <v>8636.7999999999993</v>
      </c>
      <c r="U8"/>
      <c r="V8" s="72"/>
      <c r="W8" s="2">
        <f t="shared" si="14"/>
        <v>-8636.7999999999993</v>
      </c>
      <c r="X8" s="1">
        <f t="shared" si="15"/>
        <v>-8636.7999999999993</v>
      </c>
      <c r="Y8" s="6">
        <f t="shared" si="16"/>
        <v>0</v>
      </c>
      <c r="Z8" s="70">
        <f t="shared" si="19"/>
        <v>8494.2000000000007</v>
      </c>
      <c r="AA8" s="72"/>
      <c r="AB8" s="72"/>
      <c r="AC8" s="2">
        <f t="shared" si="0"/>
        <v>-8494.2000000000007</v>
      </c>
      <c r="AD8" s="2">
        <f t="shared" si="1"/>
        <v>-8494.2000000000007</v>
      </c>
      <c r="AE8" s="9">
        <f t="shared" si="17"/>
        <v>0</v>
      </c>
      <c r="AF8" s="22"/>
      <c r="AG8" s="57">
        <v>4</v>
      </c>
      <c r="AH8" s="27">
        <f>'First trim'!AN11</f>
        <v>8542.7000000000007</v>
      </c>
      <c r="AI8" s="66">
        <f>'First trim'!AO11</f>
        <v>8461.7999999999993</v>
      </c>
      <c r="AJ8" s="27">
        <f>'First trim'!AP11</f>
        <v>8507.6</v>
      </c>
      <c r="AK8" s="27">
        <f>'First trim'!AQ11</f>
        <v>8636.7999999999993</v>
      </c>
      <c r="AL8" s="27">
        <f>'First trim'!AS11</f>
        <v>8494.2000000000007</v>
      </c>
      <c r="AM8" s="22"/>
      <c r="AN8" s="23"/>
    </row>
    <row r="9" spans="1:43" ht="15.75" x14ac:dyDescent="0.25">
      <c r="A9" s="73">
        <v>5</v>
      </c>
      <c r="B9" s="15">
        <f t="shared" si="2"/>
        <v>8499.2000000000007</v>
      </c>
      <c r="C9" s="72"/>
      <c r="D9" s="72"/>
      <c r="E9" s="2">
        <f t="shared" si="3"/>
        <v>-8499.2000000000007</v>
      </c>
      <c r="F9" s="1">
        <f t="shared" si="4"/>
        <v>-8499.2000000000007</v>
      </c>
      <c r="G9" s="9">
        <f t="shared" si="5"/>
        <v>0</v>
      </c>
      <c r="H9" s="15">
        <f t="shared" si="6"/>
        <v>8427</v>
      </c>
      <c r="I9" s="72"/>
      <c r="J9" s="72"/>
      <c r="K9" s="2">
        <f t="shared" si="7"/>
        <v>-8427</v>
      </c>
      <c r="L9" s="1">
        <f t="shared" si="8"/>
        <v>-8427</v>
      </c>
      <c r="M9" s="9">
        <f t="shared" si="9"/>
        <v>0</v>
      </c>
      <c r="N9" s="15">
        <f t="shared" si="10"/>
        <v>8472.5</v>
      </c>
      <c r="O9" s="72"/>
      <c r="P9" s="72"/>
      <c r="Q9" s="2">
        <f t="shared" si="11"/>
        <v>-8472.5</v>
      </c>
      <c r="R9" s="1">
        <f t="shared" si="12"/>
        <v>-8472.5</v>
      </c>
      <c r="S9" s="6">
        <f t="shared" si="13"/>
        <v>0</v>
      </c>
      <c r="T9" s="70">
        <f t="shared" si="18"/>
        <v>8591.4</v>
      </c>
      <c r="U9"/>
      <c r="V9" s="72"/>
      <c r="W9" s="2">
        <f t="shared" si="14"/>
        <v>-8591.4</v>
      </c>
      <c r="X9" s="1">
        <f t="shared" si="15"/>
        <v>-8591.4</v>
      </c>
      <c r="Y9" s="6">
        <f t="shared" si="16"/>
        <v>0</v>
      </c>
      <c r="Z9" s="70">
        <f t="shared" si="19"/>
        <v>8559.2000000000007</v>
      </c>
      <c r="AA9" s="72"/>
      <c r="AB9" s="72"/>
      <c r="AC9" s="2">
        <f t="shared" si="0"/>
        <v>-8559.2000000000007</v>
      </c>
      <c r="AD9" s="2">
        <f t="shared" si="1"/>
        <v>-8559.2000000000007</v>
      </c>
      <c r="AE9" s="9">
        <f t="shared" si="17"/>
        <v>0</v>
      </c>
      <c r="AF9" s="22"/>
      <c r="AG9" s="57">
        <v>5</v>
      </c>
      <c r="AH9" s="27">
        <f>'First trim'!AN12</f>
        <v>8499.2000000000007</v>
      </c>
      <c r="AI9" s="66">
        <f>'First trim'!AO12</f>
        <v>8427</v>
      </c>
      <c r="AJ9" s="27">
        <f>'First trim'!AP12</f>
        <v>8472.5</v>
      </c>
      <c r="AK9" s="27">
        <f>'First trim'!AQ12</f>
        <v>8591.4</v>
      </c>
      <c r="AL9" s="27">
        <f>'First trim'!AS12</f>
        <v>8559.2000000000007</v>
      </c>
      <c r="AM9" s="22"/>
      <c r="AN9" s="23"/>
    </row>
    <row r="10" spans="1:43" ht="15.75" x14ac:dyDescent="0.25">
      <c r="A10" s="73">
        <v>6</v>
      </c>
      <c r="B10" s="15">
        <f t="shared" si="2"/>
        <v>8453.7000000000007</v>
      </c>
      <c r="C10" s="72"/>
      <c r="D10" s="72"/>
      <c r="E10" s="2">
        <f t="shared" si="3"/>
        <v>-8453.7000000000007</v>
      </c>
      <c r="F10" s="1">
        <f t="shared" si="4"/>
        <v>-8453.7000000000007</v>
      </c>
      <c r="G10" s="9">
        <f t="shared" si="5"/>
        <v>0</v>
      </c>
      <c r="H10" s="15">
        <f t="shared" si="6"/>
        <v>8568.6</v>
      </c>
      <c r="I10" s="72"/>
      <c r="J10" s="72"/>
      <c r="K10" s="2">
        <f t="shared" si="7"/>
        <v>-8568.6</v>
      </c>
      <c r="L10" s="1">
        <f>J10-H10</f>
        <v>-8568.6</v>
      </c>
      <c r="M10" s="9">
        <f>I10-J10</f>
        <v>0</v>
      </c>
      <c r="N10" s="15">
        <f t="shared" si="10"/>
        <v>8445.2000000000007</v>
      </c>
      <c r="O10" s="72"/>
      <c r="P10" s="72"/>
      <c r="Q10" s="2">
        <f t="shared" si="11"/>
        <v>-8445.2000000000007</v>
      </c>
      <c r="R10" s="1">
        <f>P10-N10</f>
        <v>-8445.2000000000007</v>
      </c>
      <c r="S10" s="6">
        <f>O10-P10</f>
        <v>0</v>
      </c>
      <c r="T10" s="70">
        <f t="shared" si="18"/>
        <v>8561</v>
      </c>
      <c r="U10"/>
      <c r="V10" s="72"/>
      <c r="W10" s="2">
        <f t="shared" si="14"/>
        <v>-8561</v>
      </c>
      <c r="X10" s="1">
        <f t="shared" si="15"/>
        <v>-8561</v>
      </c>
      <c r="Y10" s="6">
        <f t="shared" si="16"/>
        <v>0</v>
      </c>
      <c r="Z10" s="70">
        <f t="shared" si="19"/>
        <v>8346.7999999999993</v>
      </c>
      <c r="AA10" s="72"/>
      <c r="AB10" s="72"/>
      <c r="AC10" s="2">
        <f t="shared" si="0"/>
        <v>-8346.7999999999993</v>
      </c>
      <c r="AD10" s="2">
        <f t="shared" si="1"/>
        <v>-8346.7999999999993</v>
      </c>
      <c r="AE10" s="9">
        <f t="shared" si="17"/>
        <v>0</v>
      </c>
      <c r="AF10" s="22"/>
      <c r="AG10" s="57">
        <v>6</v>
      </c>
      <c r="AH10" s="27">
        <f>'First trim'!AN13</f>
        <v>8453.7000000000007</v>
      </c>
      <c r="AI10" s="66">
        <f>'First trim'!AO13</f>
        <v>8568.6</v>
      </c>
      <c r="AJ10" s="27">
        <f>'First trim'!AP13</f>
        <v>8445.2000000000007</v>
      </c>
      <c r="AK10" s="27">
        <f>'First trim'!AQ13</f>
        <v>8561</v>
      </c>
      <c r="AL10" s="27">
        <f>'First trim'!AS13</f>
        <v>8346.7999999999993</v>
      </c>
      <c r="AM10" s="22"/>
      <c r="AN10" s="23"/>
    </row>
    <row r="11" spans="1:43" ht="15.75" x14ac:dyDescent="0.25">
      <c r="A11" s="73">
        <v>7</v>
      </c>
      <c r="B11" s="15">
        <f t="shared" si="2"/>
        <v>8455.9</v>
      </c>
      <c r="C11" s="72"/>
      <c r="D11" s="72"/>
      <c r="E11" s="2">
        <f t="shared" si="3"/>
        <v>-8455.9</v>
      </c>
      <c r="F11" s="1">
        <f t="shared" si="4"/>
        <v>-8455.9</v>
      </c>
      <c r="G11" s="9">
        <f t="shared" si="5"/>
        <v>0</v>
      </c>
      <c r="H11" s="15">
        <f t="shared" si="6"/>
        <v>8395.7999999999993</v>
      </c>
      <c r="I11" s="72"/>
      <c r="J11" s="72"/>
      <c r="K11" s="2">
        <f t="shared" si="7"/>
        <v>-8395.7999999999993</v>
      </c>
      <c r="L11" s="1">
        <f>J11-H11</f>
        <v>-8395.7999999999993</v>
      </c>
      <c r="M11" s="9">
        <f>I11-J11</f>
        <v>0</v>
      </c>
      <c r="N11" s="15">
        <f t="shared" si="10"/>
        <v>8455.2000000000007</v>
      </c>
      <c r="O11" s="72"/>
      <c r="P11" s="72"/>
      <c r="Q11" s="2">
        <f t="shared" si="11"/>
        <v>-8455.2000000000007</v>
      </c>
      <c r="R11" s="1">
        <f>P11-N11</f>
        <v>-8455.2000000000007</v>
      </c>
      <c r="S11" s="6">
        <f>O11-P11</f>
        <v>0</v>
      </c>
      <c r="T11" s="70">
        <f t="shared" si="18"/>
        <v>8570.4</v>
      </c>
      <c r="U11"/>
      <c r="V11" s="72"/>
      <c r="W11" s="2">
        <f t="shared" si="14"/>
        <v>-8570.4</v>
      </c>
      <c r="X11" s="1">
        <f t="shared" si="15"/>
        <v>-8570.4</v>
      </c>
      <c r="Y11" s="6">
        <f t="shared" si="16"/>
        <v>0</v>
      </c>
      <c r="Z11" s="70">
        <f t="shared" si="19"/>
        <v>8247.7999999999993</v>
      </c>
      <c r="AA11" s="72"/>
      <c r="AB11" s="72"/>
      <c r="AC11" s="2">
        <f t="shared" si="0"/>
        <v>-8247.7999999999993</v>
      </c>
      <c r="AD11" s="2">
        <f t="shared" si="1"/>
        <v>-8247.7999999999993</v>
      </c>
      <c r="AE11" s="9">
        <f t="shared" si="17"/>
        <v>0</v>
      </c>
      <c r="AF11" s="22"/>
      <c r="AG11" s="57">
        <v>7</v>
      </c>
      <c r="AH11" s="27">
        <f>'First trim'!AN14</f>
        <v>8455.9</v>
      </c>
      <c r="AI11" s="66">
        <f>'First trim'!AO14</f>
        <v>8395.7999999999993</v>
      </c>
      <c r="AJ11" s="27">
        <f>'First trim'!AP14</f>
        <v>8455.2000000000007</v>
      </c>
      <c r="AK11" s="27">
        <f>'First trim'!AQ14</f>
        <v>8570.4</v>
      </c>
      <c r="AL11" s="27">
        <f>'First trim'!AS14</f>
        <v>8247.7999999999993</v>
      </c>
      <c r="AM11" s="22"/>
      <c r="AN11" s="23"/>
    </row>
    <row r="12" spans="1:43" ht="16.5" thickBot="1" x14ac:dyDescent="0.3">
      <c r="A12" s="73">
        <v>8</v>
      </c>
      <c r="B12" s="15">
        <f t="shared" si="2"/>
        <v>8300</v>
      </c>
      <c r="C12" s="72"/>
      <c r="D12" s="72"/>
      <c r="E12" s="2">
        <f t="shared" si="3"/>
        <v>-8300</v>
      </c>
      <c r="F12" s="1">
        <f t="shared" si="4"/>
        <v>-8300</v>
      </c>
      <c r="G12" s="9">
        <f t="shared" si="5"/>
        <v>0</v>
      </c>
      <c r="H12" s="15">
        <f t="shared" si="6"/>
        <v>8252.2999999999993</v>
      </c>
      <c r="I12" s="72"/>
      <c r="J12" s="72"/>
      <c r="K12" s="2">
        <f t="shared" si="7"/>
        <v>-8252.2999999999993</v>
      </c>
      <c r="L12" s="1">
        <f t="shared" si="8"/>
        <v>-8252.2999999999993</v>
      </c>
      <c r="M12" s="9">
        <f t="shared" si="9"/>
        <v>0</v>
      </c>
      <c r="N12" s="15">
        <f t="shared" si="10"/>
        <v>8285.6</v>
      </c>
      <c r="O12" s="72"/>
      <c r="P12" s="72"/>
      <c r="Q12" s="2">
        <f t="shared" si="11"/>
        <v>-8285.6</v>
      </c>
      <c r="R12" s="1">
        <f t="shared" ref="R12:R19" si="20">P12-N12</f>
        <v>-8285.6</v>
      </c>
      <c r="S12" s="6">
        <f t="shared" ref="S12:S19" si="21">O12-P12</f>
        <v>0</v>
      </c>
      <c r="T12" s="71">
        <f t="shared" si="18"/>
        <v>8422.6</v>
      </c>
      <c r="U12" s="45"/>
      <c r="V12" s="55"/>
      <c r="W12" s="4">
        <f t="shared" si="14"/>
        <v>-8422.6</v>
      </c>
      <c r="X12" s="5">
        <f t="shared" si="15"/>
        <v>-8422.6</v>
      </c>
      <c r="Y12" s="76">
        <f t="shared" si="16"/>
        <v>0</v>
      </c>
      <c r="Z12" s="70">
        <f t="shared" si="19"/>
        <v>8143.8</v>
      </c>
      <c r="AA12" s="72"/>
      <c r="AB12" s="72"/>
      <c r="AC12" s="2">
        <f t="shared" si="0"/>
        <v>-8143.8</v>
      </c>
      <c r="AD12" s="2">
        <f t="shared" si="1"/>
        <v>-8143.8</v>
      </c>
      <c r="AE12" s="9">
        <f t="shared" si="17"/>
        <v>0</v>
      </c>
      <c r="AF12" s="22"/>
      <c r="AG12" s="57">
        <v>8</v>
      </c>
      <c r="AH12" s="27">
        <f>'First trim'!AN15</f>
        <v>8300</v>
      </c>
      <c r="AI12" s="66">
        <f>'First trim'!AO15</f>
        <v>8252.2999999999993</v>
      </c>
      <c r="AJ12" s="27">
        <f>'First trim'!AP15</f>
        <v>8285.6</v>
      </c>
      <c r="AK12" s="69">
        <f>'First trim'!AQ15</f>
        <v>8422.6</v>
      </c>
      <c r="AL12" s="27">
        <f>'First trim'!AS15</f>
        <v>8143.8</v>
      </c>
      <c r="AM12" s="22"/>
      <c r="AN12" s="23"/>
    </row>
    <row r="13" spans="1:43" ht="15.75" x14ac:dyDescent="0.25">
      <c r="A13" s="73">
        <v>9</v>
      </c>
      <c r="B13" s="15">
        <f t="shared" si="2"/>
        <v>8212.5</v>
      </c>
      <c r="C13" s="72"/>
      <c r="D13" s="72"/>
      <c r="E13" s="2">
        <f t="shared" si="3"/>
        <v>-8212.5</v>
      </c>
      <c r="F13" s="1">
        <f t="shared" si="4"/>
        <v>-8212.5</v>
      </c>
      <c r="G13" s="9">
        <f t="shared" si="5"/>
        <v>0</v>
      </c>
      <c r="H13" s="15">
        <f t="shared" si="6"/>
        <v>8176</v>
      </c>
      <c r="I13" s="72"/>
      <c r="J13" s="72"/>
      <c r="K13" s="2">
        <f t="shared" si="7"/>
        <v>-8176</v>
      </c>
      <c r="L13" s="1">
        <f t="shared" si="8"/>
        <v>-8176</v>
      </c>
      <c r="M13" s="9">
        <f t="shared" si="9"/>
        <v>0</v>
      </c>
      <c r="N13" s="15">
        <f t="shared" si="10"/>
        <v>8211.4</v>
      </c>
      <c r="O13" s="72"/>
      <c r="P13" s="72"/>
      <c r="Q13" s="2">
        <f t="shared" si="11"/>
        <v>-8211.4</v>
      </c>
      <c r="R13" s="1">
        <f t="shared" si="20"/>
        <v>-8211.4</v>
      </c>
      <c r="S13" s="9">
        <f t="shared" si="21"/>
        <v>0</v>
      </c>
      <c r="T13"/>
      <c r="U13"/>
      <c r="V13"/>
      <c r="W13"/>
      <c r="X13"/>
      <c r="Y13"/>
      <c r="Z13" s="70">
        <f t="shared" si="19"/>
        <v>8074.4</v>
      </c>
      <c r="AA13" s="72"/>
      <c r="AB13" s="72"/>
      <c r="AC13" s="2">
        <f t="shared" si="0"/>
        <v>-8074.4</v>
      </c>
      <c r="AD13" s="2">
        <f t="shared" si="1"/>
        <v>-8074.4</v>
      </c>
      <c r="AE13" s="9">
        <f t="shared" si="17"/>
        <v>0</v>
      </c>
      <c r="AF13" s="22"/>
      <c r="AG13" s="57">
        <v>9</v>
      </c>
      <c r="AH13" s="27">
        <f>'First trim'!AN16</f>
        <v>8212.5</v>
      </c>
      <c r="AI13" s="66">
        <f>'First trim'!AO16</f>
        <v>8176</v>
      </c>
      <c r="AJ13" s="27">
        <f>'First trim'!AP16</f>
        <v>8211.4</v>
      </c>
      <c r="AK13" s="58"/>
      <c r="AL13" s="27">
        <f>'First trim'!AS16</f>
        <v>8074.4</v>
      </c>
      <c r="AM13" s="22"/>
      <c r="AN13" s="23"/>
    </row>
    <row r="14" spans="1:43" ht="15.75" x14ac:dyDescent="0.25">
      <c r="A14" s="73">
        <v>10</v>
      </c>
      <c r="B14" s="15">
        <f t="shared" si="2"/>
        <v>8160.6</v>
      </c>
      <c r="C14" s="72"/>
      <c r="D14" s="72"/>
      <c r="E14" s="2">
        <f t="shared" si="3"/>
        <v>-8160.6</v>
      </c>
      <c r="F14" s="1">
        <f t="shared" si="4"/>
        <v>-8160.6</v>
      </c>
      <c r="G14" s="9">
        <f t="shared" si="5"/>
        <v>0</v>
      </c>
      <c r="H14" s="15">
        <f t="shared" si="6"/>
        <v>8127.7</v>
      </c>
      <c r="I14" s="72"/>
      <c r="J14" s="72"/>
      <c r="K14" s="2">
        <f t="shared" si="7"/>
        <v>-8127.7</v>
      </c>
      <c r="L14" s="1">
        <f t="shared" si="8"/>
        <v>-8127.7</v>
      </c>
      <c r="M14" s="9">
        <f t="shared" si="9"/>
        <v>0</v>
      </c>
      <c r="N14" s="15">
        <f t="shared" si="10"/>
        <v>8164.1</v>
      </c>
      <c r="O14" s="72"/>
      <c r="P14" s="72"/>
      <c r="Q14" s="2">
        <f t="shared" si="11"/>
        <v>-8164.1</v>
      </c>
      <c r="R14" s="1">
        <f t="shared" si="20"/>
        <v>-8164.1</v>
      </c>
      <c r="S14" s="9">
        <f t="shared" si="21"/>
        <v>0</v>
      </c>
      <c r="T14"/>
      <c r="U14"/>
      <c r="V14"/>
      <c r="W14"/>
      <c r="X14"/>
      <c r="Y14"/>
      <c r="Z14" s="70">
        <f t="shared" si="19"/>
        <v>8063.6</v>
      </c>
      <c r="AA14" s="72"/>
      <c r="AB14" s="72"/>
      <c r="AC14" s="2">
        <f t="shared" si="0"/>
        <v>-8063.6</v>
      </c>
      <c r="AD14" s="2">
        <f t="shared" si="1"/>
        <v>-8063.6</v>
      </c>
      <c r="AE14" s="9">
        <f t="shared" si="17"/>
        <v>0</v>
      </c>
      <c r="AF14" s="22"/>
      <c r="AG14" s="57">
        <v>10</v>
      </c>
      <c r="AH14" s="27">
        <f>'First trim'!AN17</f>
        <v>8160.6</v>
      </c>
      <c r="AI14" s="66">
        <f>'First trim'!AO17</f>
        <v>8127.7</v>
      </c>
      <c r="AJ14" s="27">
        <f>'First trim'!AP17</f>
        <v>8164.1</v>
      </c>
      <c r="AK14" s="58"/>
      <c r="AL14" s="27">
        <f>'First trim'!AS17</f>
        <v>8063.6</v>
      </c>
      <c r="AM14" s="22"/>
      <c r="AN14" s="23"/>
      <c r="AP14" s="22"/>
      <c r="AQ14" s="23"/>
    </row>
    <row r="15" spans="1:43" ht="16.5" thickBot="1" x14ac:dyDescent="0.3">
      <c r="A15" s="73">
        <v>11</v>
      </c>
      <c r="B15" s="15">
        <f t="shared" si="2"/>
        <v>8044.4</v>
      </c>
      <c r="C15" s="72"/>
      <c r="D15" s="72"/>
      <c r="E15" s="2">
        <f t="shared" si="3"/>
        <v>-8044.4</v>
      </c>
      <c r="F15" s="1">
        <f t="shared" si="4"/>
        <v>-8044.4</v>
      </c>
      <c r="G15" s="9">
        <f t="shared" si="5"/>
        <v>0</v>
      </c>
      <c r="H15" s="15">
        <f t="shared" si="6"/>
        <v>8009.8</v>
      </c>
      <c r="I15" s="72"/>
      <c r="J15" s="72"/>
      <c r="K15" s="2">
        <f t="shared" si="7"/>
        <v>-8009.8</v>
      </c>
      <c r="L15" s="1">
        <f t="shared" si="8"/>
        <v>-8009.8</v>
      </c>
      <c r="M15" s="9">
        <f t="shared" si="9"/>
        <v>0</v>
      </c>
      <c r="N15" s="15">
        <f t="shared" si="10"/>
        <v>8059.2</v>
      </c>
      <c r="O15" s="72"/>
      <c r="P15" s="72"/>
      <c r="Q15" s="2">
        <f t="shared" si="11"/>
        <v>-8059.2</v>
      </c>
      <c r="R15" s="1">
        <f t="shared" si="20"/>
        <v>-8059.2</v>
      </c>
      <c r="S15" s="9">
        <f t="shared" si="21"/>
        <v>0</v>
      </c>
      <c r="T15"/>
      <c r="U15"/>
      <c r="V15"/>
      <c r="W15"/>
      <c r="X15"/>
      <c r="Y15"/>
      <c r="Z15" s="71">
        <f>AL15</f>
        <v>0</v>
      </c>
      <c r="AA15" s="55"/>
      <c r="AB15" s="55"/>
      <c r="AC15" s="4">
        <f t="shared" ref="AC15" si="22">(AA15-Z15)+$AA$23</f>
        <v>0</v>
      </c>
      <c r="AD15" s="4">
        <f t="shared" ref="AD15" si="23">(AB15-Z15)+$AA$23</f>
        <v>0</v>
      </c>
      <c r="AE15" s="11">
        <f t="shared" si="17"/>
        <v>0</v>
      </c>
      <c r="AF15" s="22"/>
      <c r="AG15" s="57">
        <v>11</v>
      </c>
      <c r="AH15" s="27">
        <f>'First trim'!AN18</f>
        <v>8044.4</v>
      </c>
      <c r="AI15" s="66">
        <f>'First trim'!AO18</f>
        <v>8009.8</v>
      </c>
      <c r="AJ15" s="27">
        <f>'First trim'!AP18</f>
        <v>8059.2</v>
      </c>
      <c r="AK15" s="58"/>
      <c r="AL15" s="28">
        <f>'First trim'!AS18</f>
        <v>0</v>
      </c>
      <c r="AM15" s="22"/>
      <c r="AN15" s="23"/>
      <c r="AP15" s="22"/>
      <c r="AQ15" s="23"/>
    </row>
    <row r="16" spans="1:43" ht="15.75" x14ac:dyDescent="0.25">
      <c r="A16" s="73">
        <v>12</v>
      </c>
      <c r="B16" s="15">
        <f t="shared" si="2"/>
        <v>7993</v>
      </c>
      <c r="C16" s="72"/>
      <c r="D16" s="72"/>
      <c r="E16" s="2">
        <f t="shared" si="3"/>
        <v>-7993</v>
      </c>
      <c r="F16" s="1">
        <f t="shared" si="4"/>
        <v>-7993</v>
      </c>
      <c r="G16" s="9">
        <f t="shared" si="5"/>
        <v>0</v>
      </c>
      <c r="H16" s="15">
        <f t="shared" si="6"/>
        <v>7944.7</v>
      </c>
      <c r="I16" s="72"/>
      <c r="J16" s="72"/>
      <c r="K16" s="2">
        <f t="shared" si="7"/>
        <v>-7944.7</v>
      </c>
      <c r="L16" s="1">
        <f t="shared" si="8"/>
        <v>-7944.7</v>
      </c>
      <c r="M16" s="9">
        <f t="shared" si="9"/>
        <v>0</v>
      </c>
      <c r="N16" s="15">
        <f t="shared" si="10"/>
        <v>7989.1</v>
      </c>
      <c r="O16" s="72"/>
      <c r="P16" s="72"/>
      <c r="Q16" s="2">
        <f t="shared" si="11"/>
        <v>-7989.1</v>
      </c>
      <c r="R16" s="1">
        <f t="shared" si="20"/>
        <v>-7989.1</v>
      </c>
      <c r="S16" s="9">
        <f t="shared" si="21"/>
        <v>0</v>
      </c>
      <c r="T16"/>
      <c r="U16"/>
      <c r="V16"/>
      <c r="W16"/>
      <c r="X16"/>
      <c r="Y16"/>
      <c r="Z16"/>
      <c r="AA16"/>
      <c r="AB16"/>
      <c r="AC16"/>
      <c r="AD16"/>
      <c r="AE16"/>
      <c r="AF16" s="22"/>
      <c r="AG16" s="57">
        <v>12</v>
      </c>
      <c r="AH16" s="27">
        <f>'First trim'!AN19</f>
        <v>7993</v>
      </c>
      <c r="AI16" s="66">
        <f>'First trim'!AO19</f>
        <v>7944.7</v>
      </c>
      <c r="AJ16" s="27">
        <f>'First trim'!AP19</f>
        <v>7989.1</v>
      </c>
      <c r="AK16" s="58"/>
      <c r="AL16"/>
      <c r="AM16" s="22"/>
      <c r="AN16" s="23"/>
      <c r="AP16" s="22"/>
      <c r="AQ16" s="23"/>
    </row>
    <row r="17" spans="1:43" ht="15.75" x14ac:dyDescent="0.25">
      <c r="A17" s="73">
        <v>13</v>
      </c>
      <c r="B17" s="15">
        <f t="shared" si="2"/>
        <v>7969.5</v>
      </c>
      <c r="C17" s="72"/>
      <c r="D17" s="72"/>
      <c r="E17" s="2">
        <f t="shared" si="3"/>
        <v>-7969.5</v>
      </c>
      <c r="F17" s="1">
        <f t="shared" si="4"/>
        <v>-7969.5</v>
      </c>
      <c r="G17" s="9">
        <f t="shared" si="5"/>
        <v>0</v>
      </c>
      <c r="H17" s="15">
        <f t="shared" si="6"/>
        <v>7899.4</v>
      </c>
      <c r="I17" s="72"/>
      <c r="J17" s="72"/>
      <c r="K17" s="2">
        <f t="shared" si="7"/>
        <v>-7899.4</v>
      </c>
      <c r="L17" s="1">
        <f t="shared" si="8"/>
        <v>-7899.4</v>
      </c>
      <c r="M17" s="9">
        <f t="shared" si="9"/>
        <v>0</v>
      </c>
      <c r="N17" s="15">
        <f t="shared" si="10"/>
        <v>7950.4</v>
      </c>
      <c r="O17" s="72"/>
      <c r="P17" s="72"/>
      <c r="Q17" s="2">
        <f t="shared" si="11"/>
        <v>-7950.4</v>
      </c>
      <c r="R17" s="1">
        <f t="shared" si="20"/>
        <v>-7950.4</v>
      </c>
      <c r="S17" s="9">
        <f t="shared" si="21"/>
        <v>0</v>
      </c>
      <c r="T17"/>
      <c r="U17"/>
      <c r="V17"/>
      <c r="W17"/>
      <c r="X17"/>
      <c r="Y17"/>
      <c r="Z17"/>
      <c r="AA17"/>
      <c r="AB17"/>
      <c r="AC17"/>
      <c r="AD17"/>
      <c r="AE17"/>
      <c r="AF17" s="22"/>
      <c r="AG17" s="57">
        <v>13</v>
      </c>
      <c r="AH17" s="27">
        <f>'First trim'!AN20</f>
        <v>7969.5</v>
      </c>
      <c r="AI17" s="66">
        <f>'First trim'!AO20</f>
        <v>7899.4</v>
      </c>
      <c r="AJ17" s="27">
        <f>'First trim'!AP20</f>
        <v>7950.4</v>
      </c>
      <c r="AK17" s="58"/>
      <c r="AL17"/>
      <c r="AM17" s="22"/>
      <c r="AN17" s="23"/>
      <c r="AP17" s="22"/>
      <c r="AQ17" s="23"/>
    </row>
    <row r="18" spans="1:43" ht="15.75" x14ac:dyDescent="0.25">
      <c r="A18" s="73">
        <v>14</v>
      </c>
      <c r="B18" s="15">
        <f t="shared" si="2"/>
        <v>7757.8</v>
      </c>
      <c r="C18" s="72"/>
      <c r="D18" s="72"/>
      <c r="E18" s="2">
        <f t="shared" si="3"/>
        <v>-7757.8</v>
      </c>
      <c r="F18" s="1">
        <f t="shared" si="4"/>
        <v>-7757.8</v>
      </c>
      <c r="G18" s="9">
        <f t="shared" si="5"/>
        <v>0</v>
      </c>
      <c r="H18" s="15">
        <f t="shared" si="6"/>
        <v>7742.4</v>
      </c>
      <c r="I18" s="72"/>
      <c r="J18" s="72"/>
      <c r="K18" s="2">
        <f t="shared" si="7"/>
        <v>-7742.4</v>
      </c>
      <c r="L18" s="1">
        <f t="shared" si="8"/>
        <v>-7742.4</v>
      </c>
      <c r="M18" s="9">
        <f t="shared" si="9"/>
        <v>0</v>
      </c>
      <c r="N18" s="15">
        <f t="shared" si="10"/>
        <v>7836.8</v>
      </c>
      <c r="O18" s="72"/>
      <c r="P18" s="72"/>
      <c r="Q18" s="2">
        <f t="shared" si="11"/>
        <v>-7836.8</v>
      </c>
      <c r="R18" s="1">
        <f t="shared" si="20"/>
        <v>-7836.8</v>
      </c>
      <c r="S18" s="9">
        <f t="shared" si="21"/>
        <v>0</v>
      </c>
      <c r="T18"/>
      <c r="U18"/>
      <c r="V18"/>
      <c r="W18"/>
      <c r="X18"/>
      <c r="Y18"/>
      <c r="Z18"/>
      <c r="AA18"/>
      <c r="AB18"/>
      <c r="AC18"/>
      <c r="AD18"/>
      <c r="AE18"/>
      <c r="AF18" s="22"/>
      <c r="AG18" s="57">
        <v>14</v>
      </c>
      <c r="AH18" s="27">
        <f>'First trim'!AN21</f>
        <v>7757.8</v>
      </c>
      <c r="AI18" s="66">
        <f>'First trim'!AO21</f>
        <v>7742.4</v>
      </c>
      <c r="AJ18" s="27">
        <f>'First trim'!AP21</f>
        <v>7836.8</v>
      </c>
      <c r="AK18" s="59"/>
      <c r="AL18"/>
      <c r="AM18" s="22"/>
      <c r="AN18" s="23"/>
      <c r="AP18" s="22"/>
      <c r="AQ18" s="23"/>
    </row>
    <row r="19" spans="1:43" ht="16.5" thickBot="1" x14ac:dyDescent="0.3">
      <c r="A19" s="74">
        <v>15</v>
      </c>
      <c r="B19" s="18">
        <f t="shared" si="2"/>
        <v>7653.9</v>
      </c>
      <c r="C19" s="55"/>
      <c r="D19" s="55"/>
      <c r="E19" s="4">
        <f t="shared" si="3"/>
        <v>-7653.9</v>
      </c>
      <c r="F19" s="5">
        <f t="shared" si="4"/>
        <v>-7653.9</v>
      </c>
      <c r="G19" s="11">
        <f t="shared" si="5"/>
        <v>0</v>
      </c>
      <c r="H19" s="18">
        <f t="shared" si="6"/>
        <v>7701.6</v>
      </c>
      <c r="I19" s="55"/>
      <c r="J19" s="55"/>
      <c r="K19" s="4">
        <f t="shared" si="7"/>
        <v>-7701.6</v>
      </c>
      <c r="L19" s="5">
        <f t="shared" si="8"/>
        <v>-7701.6</v>
      </c>
      <c r="M19" s="11">
        <f t="shared" si="9"/>
        <v>0</v>
      </c>
      <c r="N19" s="18">
        <f t="shared" si="10"/>
        <v>7797.9</v>
      </c>
      <c r="O19" s="55"/>
      <c r="P19" s="55"/>
      <c r="Q19" s="4">
        <f t="shared" si="11"/>
        <v>-7797.9</v>
      </c>
      <c r="R19" s="5">
        <f t="shared" si="20"/>
        <v>-7797.9</v>
      </c>
      <c r="S19" s="11">
        <f t="shared" si="21"/>
        <v>0</v>
      </c>
      <c r="T19"/>
      <c r="U19"/>
      <c r="AE19"/>
      <c r="AF19" s="22"/>
      <c r="AG19" s="60">
        <v>15</v>
      </c>
      <c r="AH19" s="28">
        <f>'First trim'!AN22</f>
        <v>7653.9</v>
      </c>
      <c r="AI19" s="67">
        <f>'First trim'!AO22</f>
        <v>7701.6</v>
      </c>
      <c r="AJ19" s="28">
        <f>'First trim'!AP22</f>
        <v>7797.9</v>
      </c>
      <c r="AK19" s="58"/>
      <c r="AM19" s="22"/>
      <c r="AN19" s="23"/>
      <c r="AP19" s="22"/>
      <c r="AQ19" s="23"/>
    </row>
    <row r="20" spans="1:43" ht="7.5" customHeight="1" x14ac:dyDescent="0.25">
      <c r="A20" s="19"/>
      <c r="B20" s="6"/>
      <c r="C20" s="2"/>
      <c r="D20" s="6"/>
      <c r="E20" s="2"/>
      <c r="F20" s="6"/>
      <c r="G20" s="6"/>
      <c r="H20" s="6"/>
      <c r="I20" s="6"/>
      <c r="J20" s="6"/>
      <c r="K20" s="6"/>
      <c r="L20" s="6"/>
      <c r="M20" s="6"/>
      <c r="N20" s="6"/>
      <c r="O20" s="2"/>
      <c r="P20" s="6"/>
      <c r="Q20" s="2"/>
      <c r="R20" s="6"/>
      <c r="S20" s="6"/>
      <c r="T20" s="6"/>
      <c r="AE20" s="6"/>
      <c r="AF20" s="6"/>
      <c r="AJ20" s="22"/>
      <c r="AK20" s="23"/>
    </row>
    <row r="21" spans="1:43" ht="15.75" thickBot="1" x14ac:dyDescent="0.3">
      <c r="A21" s="6"/>
      <c r="B21" s="6"/>
      <c r="C21" s="16"/>
      <c r="E21" s="16"/>
      <c r="I21" s="16"/>
      <c r="K21" s="16"/>
      <c r="N21" s="17"/>
      <c r="O21" s="16"/>
      <c r="Q21" s="16"/>
      <c r="R21" s="17"/>
      <c r="W21" s="3" t="s">
        <v>6</v>
      </c>
      <c r="X21" s="3">
        <v>30</v>
      </c>
      <c r="Y21" s="83" t="s">
        <v>14</v>
      </c>
      <c r="Z21" s="83"/>
      <c r="AA21" s="83"/>
      <c r="AB21" s="83"/>
      <c r="AJ21" s="22"/>
      <c r="AK21" s="23"/>
    </row>
    <row r="22" spans="1:43" ht="15" customHeight="1" x14ac:dyDescent="0.25">
      <c r="A22" s="6"/>
      <c r="B22" s="99" t="s">
        <v>18</v>
      </c>
      <c r="C22" s="100"/>
      <c r="D22" s="100"/>
      <c r="E22" s="100"/>
      <c r="F22" s="100"/>
      <c r="G22" s="100"/>
      <c r="H22" s="100"/>
      <c r="I22" s="100"/>
      <c r="J22" s="101"/>
      <c r="K22" s="16"/>
      <c r="L22" s="99" t="s">
        <v>19</v>
      </c>
      <c r="M22" s="100"/>
      <c r="N22" s="100"/>
      <c r="O22" s="100"/>
      <c r="P22" s="100"/>
      <c r="Q22" s="100"/>
      <c r="R22" s="100"/>
      <c r="S22" s="100"/>
      <c r="T22" s="101"/>
      <c r="W22" s="3" t="s">
        <v>4</v>
      </c>
      <c r="X22" s="3">
        <v>22</v>
      </c>
      <c r="Y22" s="82" t="s">
        <v>16</v>
      </c>
      <c r="Z22" s="82"/>
      <c r="AA22" s="82"/>
      <c r="AB22" s="82"/>
      <c r="AJ22" s="22"/>
      <c r="AK22" s="23"/>
    </row>
    <row r="23" spans="1:43" ht="15.75" customHeight="1" thickBot="1" x14ac:dyDescent="0.3">
      <c r="A23" s="6"/>
      <c r="B23" s="102"/>
      <c r="C23" s="103"/>
      <c r="D23" s="103"/>
      <c r="E23" s="103"/>
      <c r="F23" s="103"/>
      <c r="G23" s="103"/>
      <c r="H23" s="103"/>
      <c r="I23" s="103"/>
      <c r="J23" s="104"/>
      <c r="K23" s="16"/>
      <c r="L23" s="102"/>
      <c r="M23" s="103"/>
      <c r="N23" s="103"/>
      <c r="O23" s="103"/>
      <c r="P23" s="103"/>
      <c r="Q23" s="103"/>
      <c r="R23" s="103"/>
      <c r="S23" s="103"/>
      <c r="T23" s="104"/>
      <c r="W23" s="3" t="s">
        <v>5</v>
      </c>
      <c r="X23" s="3">
        <v>15</v>
      </c>
      <c r="Y23" s="82" t="s">
        <v>17</v>
      </c>
      <c r="Z23" s="82"/>
      <c r="AA23" s="82"/>
      <c r="AB23" s="82"/>
      <c r="AJ23" s="22"/>
      <c r="AK23" s="23"/>
    </row>
    <row r="24" spans="1:43" x14ac:dyDescent="0.25">
      <c r="A24" s="6"/>
      <c r="B24" s="93" t="s">
        <v>8</v>
      </c>
      <c r="C24" s="94"/>
      <c r="D24" s="94"/>
      <c r="E24" s="95"/>
      <c r="F24" s="41"/>
      <c r="G24" s="96" t="s">
        <v>9</v>
      </c>
      <c r="H24" s="97"/>
      <c r="I24" s="97"/>
      <c r="J24" s="98"/>
      <c r="K24" s="16"/>
      <c r="L24" s="93" t="s">
        <v>8</v>
      </c>
      <c r="M24" s="94"/>
      <c r="N24" s="94"/>
      <c r="O24" s="95"/>
      <c r="P24" s="41"/>
      <c r="Q24" s="96" t="s">
        <v>9</v>
      </c>
      <c r="R24" s="97"/>
      <c r="S24" s="97"/>
      <c r="T24" s="98"/>
      <c r="W24" s="3" t="s">
        <v>20</v>
      </c>
      <c r="X24" s="3">
        <v>0</v>
      </c>
      <c r="AJ24" s="22"/>
      <c r="AK24" s="23"/>
    </row>
    <row r="25" spans="1:43" ht="15" customHeight="1" thickBot="1" x14ac:dyDescent="0.3">
      <c r="A25" s="1"/>
      <c r="B25" s="31" t="s">
        <v>15</v>
      </c>
      <c r="C25" s="30">
        <v>3</v>
      </c>
      <c r="D25" s="30">
        <v>2</v>
      </c>
      <c r="E25" s="32">
        <v>1</v>
      </c>
      <c r="G25" s="31">
        <v>1</v>
      </c>
      <c r="H25" s="30">
        <v>2</v>
      </c>
      <c r="I25" s="30">
        <v>3</v>
      </c>
      <c r="J25" s="32" t="s">
        <v>15</v>
      </c>
      <c r="K25" s="16"/>
      <c r="L25" s="31" t="s">
        <v>15</v>
      </c>
      <c r="M25" s="30">
        <v>3</v>
      </c>
      <c r="N25" s="30">
        <v>2</v>
      </c>
      <c r="O25" s="32">
        <v>1</v>
      </c>
      <c r="Q25" s="31">
        <v>1</v>
      </c>
      <c r="R25" s="30">
        <v>2</v>
      </c>
      <c r="S25" s="30">
        <v>3</v>
      </c>
      <c r="T25" s="32" t="s">
        <v>15</v>
      </c>
    </row>
    <row r="26" spans="1:43" x14ac:dyDescent="0.25">
      <c r="A26" s="1"/>
      <c r="B26" s="24"/>
      <c r="C26" s="33">
        <f>AVERAGE(E13:E17)</f>
        <v>-8076</v>
      </c>
      <c r="D26" s="33">
        <f>AVERAGE(E9:E12)</f>
        <v>-8427.2000000000007</v>
      </c>
      <c r="E26" s="34">
        <f>AVERAGE(E5:E8)</f>
        <v>-8610</v>
      </c>
      <c r="F26" s="42" t="s">
        <v>0</v>
      </c>
      <c r="G26" s="35">
        <f>AVERAGE(F5:F8)</f>
        <v>-8610</v>
      </c>
      <c r="H26" s="33">
        <f>AVERAGE(F9:F12)</f>
        <v>-8427.2000000000007</v>
      </c>
      <c r="I26" s="33">
        <f>AVERAGE(F13:F17)</f>
        <v>-8076</v>
      </c>
      <c r="J26" s="25"/>
      <c r="K26" s="16"/>
      <c r="L26" s="24"/>
      <c r="M26" s="33" t="s">
        <v>5</v>
      </c>
      <c r="N26" s="33" t="s">
        <v>5</v>
      </c>
      <c r="O26" s="34" t="s">
        <v>5</v>
      </c>
      <c r="P26" s="42" t="s">
        <v>0</v>
      </c>
      <c r="Q26" s="35" t="s">
        <v>5</v>
      </c>
      <c r="R26" s="33" t="s">
        <v>5</v>
      </c>
      <c r="S26" s="33" t="s">
        <v>5</v>
      </c>
      <c r="T26" s="25"/>
      <c r="Z26"/>
      <c r="AA26"/>
    </row>
    <row r="27" spans="1:43" x14ac:dyDescent="0.25">
      <c r="A27" s="1"/>
      <c r="B27" s="36">
        <f>AVERAGE(E18:E19,K18:K19,Q18:Q19)</f>
        <v>-7748.4000000000005</v>
      </c>
      <c r="C27" s="29">
        <f>AVERAGE(K13:K17,Q13:Q17)</f>
        <v>-8053.1799999999985</v>
      </c>
      <c r="D27" s="29">
        <f>AVERAGE(K9:K12)</f>
        <v>-8410.9249999999993</v>
      </c>
      <c r="E27" s="37">
        <f>AVERAGE(K5:K8)</f>
        <v>-8517.5249999999996</v>
      </c>
      <c r="F27" s="43" t="s">
        <v>1</v>
      </c>
      <c r="G27" s="36">
        <f>AVERAGE(L5:L8)</f>
        <v>-8517.5249999999996</v>
      </c>
      <c r="H27" s="29">
        <f>AVERAGE(L9:L12)</f>
        <v>-8410.9249999999993</v>
      </c>
      <c r="I27" s="29">
        <f>AVERAGE(L13:L17,R13:R17)</f>
        <v>-8053.1799999999985</v>
      </c>
      <c r="J27" s="37">
        <f>AVERAGE(F18:F19,L18:L19,R18:R19)</f>
        <v>-7748.4000000000005</v>
      </c>
      <c r="K27" s="16"/>
      <c r="L27" s="36" t="s">
        <v>5</v>
      </c>
      <c r="M27" s="29" t="s">
        <v>5</v>
      </c>
      <c r="N27" s="29" t="s">
        <v>5</v>
      </c>
      <c r="O27" s="37" t="s">
        <v>5</v>
      </c>
      <c r="P27" s="43" t="s">
        <v>1</v>
      </c>
      <c r="Q27" s="36" t="s">
        <v>5</v>
      </c>
      <c r="R27" s="29" t="s">
        <v>5</v>
      </c>
      <c r="S27" s="29" t="s">
        <v>5</v>
      </c>
      <c r="T27" s="37" t="s">
        <v>5</v>
      </c>
    </row>
    <row r="28" spans="1:43" ht="15.75" thickBot="1" x14ac:dyDescent="0.3">
      <c r="A28" s="1"/>
      <c r="B28" s="10"/>
      <c r="C28" s="45"/>
      <c r="D28" s="38">
        <f>AVERAGE(Q9:Q12,W9:W12)</f>
        <v>-8475.4875000000011</v>
      </c>
      <c r="E28" s="39">
        <f>AVERAGE(Q5:Q8,W5:W8)</f>
        <v>-8625.6875</v>
      </c>
      <c r="F28" s="44" t="s">
        <v>2</v>
      </c>
      <c r="G28" s="40">
        <f>AVERAGE(R5:R8,X5:X8)</f>
        <v>-8625.6875</v>
      </c>
      <c r="H28" s="38">
        <f>AVERAGE(R9:R12,X9:X12)</f>
        <v>-8475.4875000000011</v>
      </c>
      <c r="I28" s="45"/>
      <c r="J28" s="26"/>
      <c r="K28" s="16"/>
      <c r="L28" s="10"/>
      <c r="M28" s="45"/>
      <c r="N28" s="38" t="s">
        <v>5</v>
      </c>
      <c r="O28" s="39" t="s">
        <v>5</v>
      </c>
      <c r="P28" s="44" t="s">
        <v>2</v>
      </c>
      <c r="Q28" s="40" t="s">
        <v>5</v>
      </c>
      <c r="R28" s="38" t="s">
        <v>5</v>
      </c>
      <c r="S28" s="45"/>
      <c r="T28" s="26"/>
    </row>
    <row r="29" spans="1:43" x14ac:dyDescent="0.25">
      <c r="A29" s="1"/>
      <c r="B29" s="20"/>
      <c r="C29"/>
      <c r="D29"/>
      <c r="E29"/>
      <c r="F29"/>
      <c r="G29"/>
      <c r="I29" s="16"/>
      <c r="K29" s="16"/>
      <c r="O29" s="16"/>
      <c r="Q29" s="16"/>
      <c r="AA29" s="17"/>
    </row>
    <row r="30" spans="1:43" x14ac:dyDescent="0.25">
      <c r="A30" s="6"/>
      <c r="B30" s="6"/>
      <c r="C30"/>
      <c r="D30"/>
      <c r="E30"/>
      <c r="F30"/>
      <c r="G30"/>
      <c r="I30" s="16"/>
      <c r="J30"/>
      <c r="K30"/>
      <c r="O30" s="16"/>
      <c r="P30" s="17"/>
      <c r="Q30" s="16"/>
      <c r="AA30" s="17"/>
    </row>
    <row r="31" spans="1:43" x14ac:dyDescent="0.25">
      <c r="A31" s="6"/>
      <c r="B31" s="6"/>
      <c r="C31"/>
      <c r="D31"/>
      <c r="E31"/>
      <c r="F31"/>
      <c r="G31"/>
      <c r="I31" s="16"/>
      <c r="J31"/>
      <c r="K31"/>
      <c r="O31" s="16"/>
      <c r="P31" s="17"/>
      <c r="Q31" s="16"/>
      <c r="AA31" s="17"/>
    </row>
    <row r="32" spans="1:43" x14ac:dyDescent="0.25">
      <c r="A32" s="6"/>
      <c r="B32" s="17"/>
      <c r="C32"/>
      <c r="D32"/>
      <c r="E32"/>
      <c r="F32"/>
      <c r="G32"/>
      <c r="I32" s="16"/>
      <c r="K32" s="16"/>
      <c r="O32" s="16"/>
      <c r="P32" s="17"/>
      <c r="Q32" s="16"/>
      <c r="AA32" s="17"/>
    </row>
    <row r="33" spans="1:27" x14ac:dyDescent="0.25">
      <c r="A33" s="6"/>
      <c r="C33"/>
      <c r="D33"/>
      <c r="E33"/>
      <c r="F33"/>
      <c r="G33"/>
      <c r="I33" s="16"/>
      <c r="K33" s="16"/>
      <c r="O33" s="16"/>
      <c r="P33" s="17"/>
      <c r="Q33" s="16"/>
      <c r="AA33" s="17"/>
    </row>
    <row r="34" spans="1:27" x14ac:dyDescent="0.25">
      <c r="A34" s="17"/>
      <c r="C34" s="16"/>
      <c r="E34" s="16"/>
      <c r="G34" s="17"/>
      <c r="I34" s="16"/>
      <c r="K34" s="16"/>
      <c r="O34" s="16"/>
      <c r="P34" s="17"/>
      <c r="Q34" s="16"/>
      <c r="AA34" s="17"/>
    </row>
    <row r="35" spans="1:27" x14ac:dyDescent="0.25">
      <c r="A35" s="6"/>
      <c r="C35" s="16"/>
      <c r="E35" s="16"/>
      <c r="G35" s="17"/>
      <c r="I35" s="16"/>
      <c r="K35" s="16"/>
      <c r="O35" s="16"/>
      <c r="P35" s="17"/>
      <c r="Q35" s="16"/>
      <c r="AA35" s="17"/>
    </row>
    <row r="36" spans="1:27" x14ac:dyDescent="0.25">
      <c r="A36" s="6"/>
      <c r="C36" s="16"/>
      <c r="E36" s="16"/>
      <c r="G36" s="17"/>
      <c r="I36" s="16"/>
      <c r="K36" s="16"/>
      <c r="O36" s="16"/>
      <c r="P36" s="17"/>
      <c r="Q36" s="16"/>
      <c r="AA36" s="17"/>
    </row>
    <row r="37" spans="1:27" x14ac:dyDescent="0.25">
      <c r="A37" s="6"/>
      <c r="C37" s="16"/>
      <c r="E37" s="16"/>
      <c r="G37" s="17"/>
      <c r="I37" s="16"/>
      <c r="K37" s="16"/>
      <c r="O37" s="16"/>
      <c r="P37" s="17"/>
      <c r="Q37" s="16"/>
      <c r="AA37" s="17"/>
    </row>
    <row r="38" spans="1:27" x14ac:dyDescent="0.25">
      <c r="A38" s="6"/>
      <c r="B38" s="17"/>
      <c r="C38" s="21"/>
      <c r="E38" s="16"/>
      <c r="G38" s="17"/>
      <c r="I38" s="16"/>
      <c r="K38" s="16"/>
      <c r="O38" s="16"/>
      <c r="P38" s="17"/>
      <c r="Q38" s="16"/>
      <c r="AA38" s="17"/>
    </row>
    <row r="39" spans="1:27" x14ac:dyDescent="0.25">
      <c r="A39" s="6"/>
      <c r="B39" s="17"/>
      <c r="C39" s="21"/>
      <c r="E39" s="16"/>
      <c r="G39" s="17"/>
      <c r="I39" s="16"/>
      <c r="K39" s="16"/>
      <c r="O39" s="16"/>
      <c r="P39" s="17"/>
      <c r="Q39" s="16"/>
      <c r="AA39" s="17"/>
    </row>
    <row r="40" spans="1:27" x14ac:dyDescent="0.25">
      <c r="A40" s="6"/>
      <c r="B40" s="17"/>
      <c r="C40" s="21"/>
      <c r="E40" s="16"/>
      <c r="G40" s="17"/>
      <c r="I40" s="16"/>
      <c r="K40" s="16"/>
      <c r="O40" s="16"/>
      <c r="P40" s="17"/>
      <c r="Q40" s="16"/>
      <c r="AA40" s="17"/>
    </row>
    <row r="41" spans="1:27" x14ac:dyDescent="0.25">
      <c r="A41" s="6"/>
      <c r="B41" s="17"/>
      <c r="C41" s="21"/>
      <c r="E41" s="16"/>
      <c r="G41" s="17"/>
      <c r="I41" s="16"/>
      <c r="K41" s="16"/>
      <c r="O41" s="16"/>
      <c r="P41" s="17"/>
      <c r="Q41" s="16"/>
      <c r="AA41" s="17"/>
    </row>
    <row r="42" spans="1:27" x14ac:dyDescent="0.25">
      <c r="A42" s="17"/>
      <c r="B42" s="17"/>
      <c r="C42" s="21"/>
      <c r="E42" s="16"/>
      <c r="G42" s="17"/>
      <c r="I42" s="16"/>
      <c r="K42" s="16"/>
      <c r="O42" s="16"/>
      <c r="P42" s="17"/>
      <c r="Q42" s="16"/>
      <c r="AA42" s="17"/>
    </row>
    <row r="43" spans="1:27" x14ac:dyDescent="0.25">
      <c r="C43" s="16"/>
      <c r="E43" s="16"/>
      <c r="G43" s="17"/>
      <c r="I43" s="16"/>
      <c r="K43" s="16"/>
      <c r="O43" s="16"/>
      <c r="P43" s="17"/>
      <c r="Q43" s="16"/>
      <c r="AA43" s="17"/>
    </row>
    <row r="44" spans="1:27" x14ac:dyDescent="0.25">
      <c r="C44" s="16"/>
      <c r="E44" s="16"/>
      <c r="G44" s="17"/>
      <c r="I44" s="16"/>
      <c r="K44" s="16"/>
      <c r="O44" s="16"/>
      <c r="P44" s="17"/>
      <c r="Q44" s="16"/>
      <c r="AA44" s="17"/>
    </row>
    <row r="45" spans="1:27" x14ac:dyDescent="0.25">
      <c r="C45" s="16"/>
      <c r="E45" s="16"/>
      <c r="G45" s="17"/>
      <c r="I45" s="16"/>
      <c r="K45" s="16"/>
      <c r="O45" s="16"/>
      <c r="P45" s="17"/>
      <c r="Q45" s="16"/>
      <c r="AA45" s="17"/>
    </row>
    <row r="46" spans="1:27" x14ac:dyDescent="0.25">
      <c r="C46" s="16"/>
      <c r="E46" s="16"/>
      <c r="G46" s="17"/>
      <c r="I46" s="16"/>
      <c r="K46" s="16"/>
      <c r="O46" s="16"/>
      <c r="P46" s="17"/>
      <c r="Q46" s="16"/>
      <c r="AA46" s="17"/>
    </row>
    <row r="47" spans="1:27" x14ac:dyDescent="0.25">
      <c r="C47" s="16"/>
      <c r="E47" s="16"/>
      <c r="G47" s="17"/>
      <c r="I47" s="16"/>
      <c r="K47" s="16"/>
      <c r="O47" s="16"/>
      <c r="P47" s="17"/>
      <c r="Q47" s="16"/>
      <c r="AA47" s="17"/>
    </row>
    <row r="48" spans="1:27" x14ac:dyDescent="0.25">
      <c r="C48" s="16"/>
      <c r="E48" s="16"/>
      <c r="G48" s="17"/>
      <c r="I48" s="16"/>
      <c r="K48" s="16"/>
      <c r="O48" s="16"/>
      <c r="P48" s="17"/>
      <c r="Q48" s="16"/>
      <c r="AA48" s="17"/>
    </row>
    <row r="49" spans="3:27" x14ac:dyDescent="0.25">
      <c r="C49" s="16"/>
      <c r="E49" s="16"/>
      <c r="G49" s="17"/>
      <c r="I49" s="16"/>
      <c r="K49" s="16"/>
      <c r="O49" s="16"/>
      <c r="P49" s="17"/>
      <c r="Q49" s="16"/>
      <c r="AA49" s="17"/>
    </row>
    <row r="50" spans="3:27" x14ac:dyDescent="0.25">
      <c r="C50" s="16"/>
      <c r="E50" s="16"/>
      <c r="G50" s="17"/>
      <c r="I50" s="16"/>
      <c r="K50" s="16"/>
      <c r="O50" s="16"/>
      <c r="P50" s="17"/>
      <c r="Q50" s="16"/>
      <c r="AA50" s="17"/>
    </row>
    <row r="51" spans="3:27" x14ac:dyDescent="0.25">
      <c r="C51" s="16"/>
      <c r="E51" s="16"/>
      <c r="G51" s="17"/>
      <c r="I51" s="16"/>
      <c r="K51" s="16"/>
      <c r="O51" s="16"/>
      <c r="P51" s="17"/>
      <c r="Q51" s="16"/>
      <c r="AA51" s="17"/>
    </row>
    <row r="52" spans="3:27" x14ac:dyDescent="0.25">
      <c r="C52" s="16"/>
      <c r="E52" s="16"/>
      <c r="G52" s="17"/>
      <c r="I52" s="16"/>
      <c r="K52" s="16"/>
      <c r="O52" s="16"/>
      <c r="P52" s="17"/>
      <c r="Q52" s="16"/>
      <c r="AA52" s="17"/>
    </row>
    <row r="53" spans="3:27" x14ac:dyDescent="0.25">
      <c r="C53" s="16"/>
      <c r="E53" s="16"/>
      <c r="G53" s="17"/>
      <c r="I53" s="16"/>
      <c r="K53" s="16"/>
      <c r="O53" s="16"/>
      <c r="P53" s="17"/>
      <c r="Q53" s="16"/>
      <c r="AA53" s="17"/>
    </row>
    <row r="54" spans="3:27" x14ac:dyDescent="0.25">
      <c r="C54" s="16"/>
      <c r="E54" s="16"/>
      <c r="G54" s="17"/>
      <c r="I54" s="16"/>
      <c r="K54" s="16"/>
      <c r="O54" s="16"/>
      <c r="P54" s="17"/>
      <c r="Q54" s="16"/>
      <c r="AA54" s="17"/>
    </row>
    <row r="55" spans="3:27" x14ac:dyDescent="0.25">
      <c r="C55" s="16"/>
      <c r="E55" s="16"/>
      <c r="G55" s="17"/>
      <c r="I55" s="16"/>
      <c r="K55" s="16"/>
      <c r="O55" s="16"/>
      <c r="P55" s="17"/>
      <c r="Q55" s="16"/>
      <c r="AA55" s="17"/>
    </row>
    <row r="56" spans="3:27" x14ac:dyDescent="0.25">
      <c r="C56" s="16"/>
      <c r="E56" s="16"/>
      <c r="G56" s="17"/>
      <c r="I56" s="16"/>
      <c r="K56" s="16"/>
      <c r="O56" s="16"/>
      <c r="P56" s="17"/>
      <c r="Q56" s="16"/>
      <c r="AA56" s="17"/>
    </row>
    <row r="57" spans="3:27" x14ac:dyDescent="0.25">
      <c r="C57" s="16"/>
      <c r="E57" s="16"/>
      <c r="G57" s="17"/>
      <c r="I57" s="16"/>
      <c r="K57" s="16"/>
      <c r="O57" s="16"/>
      <c r="P57" s="17"/>
      <c r="Q57" s="16"/>
      <c r="AA57" s="17"/>
    </row>
    <row r="58" spans="3:27" x14ac:dyDescent="0.25">
      <c r="C58" s="16"/>
      <c r="E58" s="16"/>
      <c r="G58" s="17"/>
      <c r="I58" s="16"/>
      <c r="K58" s="16"/>
      <c r="O58" s="16"/>
      <c r="P58" s="17"/>
      <c r="Q58" s="16"/>
      <c r="AA58" s="17"/>
    </row>
    <row r="59" spans="3:27" x14ac:dyDescent="0.25">
      <c r="C59" s="16"/>
      <c r="E59" s="16"/>
      <c r="G59" s="17"/>
      <c r="I59" s="16"/>
      <c r="K59" s="16"/>
      <c r="O59" s="16"/>
      <c r="P59" s="17"/>
      <c r="Q59" s="16"/>
      <c r="AA59" s="17"/>
    </row>
    <row r="60" spans="3:27" x14ac:dyDescent="0.25">
      <c r="C60" s="16"/>
      <c r="E60" s="16"/>
      <c r="G60" s="17"/>
      <c r="I60" s="16"/>
      <c r="K60" s="16"/>
      <c r="O60" s="16"/>
      <c r="P60" s="17"/>
      <c r="Q60" s="16"/>
      <c r="AA60" s="17"/>
    </row>
    <row r="61" spans="3:27" x14ac:dyDescent="0.25">
      <c r="C61" s="16"/>
      <c r="E61" s="16"/>
      <c r="G61" s="17"/>
      <c r="I61" s="16"/>
      <c r="K61" s="16"/>
      <c r="O61" s="16"/>
      <c r="P61" s="17"/>
      <c r="Q61" s="16"/>
      <c r="AA61" s="17"/>
    </row>
    <row r="62" spans="3:27" x14ac:dyDescent="0.25">
      <c r="C62" s="16"/>
      <c r="E62" s="16"/>
      <c r="G62" s="17"/>
      <c r="I62" s="16"/>
      <c r="K62" s="16"/>
      <c r="O62" s="16"/>
      <c r="P62" s="17"/>
      <c r="Q62" s="16"/>
      <c r="AA62" s="17"/>
    </row>
    <row r="63" spans="3:27" x14ac:dyDescent="0.25">
      <c r="C63" s="16"/>
      <c r="E63" s="16"/>
      <c r="G63" s="17"/>
      <c r="I63" s="16"/>
      <c r="K63" s="16"/>
      <c r="O63" s="16"/>
      <c r="P63" s="17"/>
      <c r="Q63" s="16"/>
      <c r="AA63" s="17"/>
    </row>
    <row r="64" spans="3:27" x14ac:dyDescent="0.25">
      <c r="C64" s="16"/>
      <c r="E64" s="16"/>
      <c r="G64" s="17"/>
      <c r="I64" s="16"/>
      <c r="K64" s="16"/>
      <c r="O64" s="16"/>
      <c r="P64" s="17"/>
      <c r="Q64" s="16"/>
      <c r="AA64" s="17"/>
    </row>
    <row r="65" spans="3:27" x14ac:dyDescent="0.25">
      <c r="C65" s="16"/>
      <c r="E65" s="16"/>
      <c r="G65" s="17"/>
      <c r="I65" s="16"/>
      <c r="K65" s="16"/>
      <c r="O65" s="16"/>
      <c r="P65" s="17"/>
      <c r="Q65" s="16"/>
      <c r="AA65" s="17"/>
    </row>
    <row r="66" spans="3:27" x14ac:dyDescent="0.25">
      <c r="I66" s="16"/>
      <c r="K66" s="16"/>
      <c r="L66" s="17"/>
      <c r="N66" s="17"/>
      <c r="O66" s="16"/>
      <c r="Q66" s="16"/>
      <c r="R66" s="17"/>
      <c r="AA66" s="17"/>
    </row>
    <row r="67" spans="3:27" x14ac:dyDescent="0.25">
      <c r="I67" s="16"/>
      <c r="K67" s="16"/>
      <c r="L67" s="17"/>
      <c r="N67" s="17"/>
      <c r="O67" s="16"/>
      <c r="Q67" s="16"/>
      <c r="R67" s="17"/>
      <c r="AA67" s="17"/>
    </row>
    <row r="68" spans="3:27" x14ac:dyDescent="0.25">
      <c r="I68" s="16"/>
      <c r="K68" s="16"/>
      <c r="L68" s="17"/>
      <c r="N68" s="17"/>
      <c r="O68" s="16"/>
      <c r="Q68" s="16"/>
      <c r="R68" s="17"/>
      <c r="AA68" s="17"/>
    </row>
    <row r="69" spans="3:27" x14ac:dyDescent="0.25">
      <c r="I69" s="16"/>
      <c r="K69" s="16"/>
      <c r="L69" s="17"/>
      <c r="N69" s="17"/>
      <c r="O69" s="16"/>
      <c r="Q69" s="16"/>
      <c r="R69" s="17"/>
      <c r="AA69" s="17"/>
    </row>
    <row r="70" spans="3:27" x14ac:dyDescent="0.25">
      <c r="I70" s="16"/>
      <c r="K70" s="16"/>
      <c r="L70" s="17"/>
      <c r="N70" s="17"/>
      <c r="O70" s="16"/>
      <c r="Q70" s="16"/>
      <c r="R70" s="17"/>
      <c r="AA70" s="17"/>
    </row>
    <row r="71" spans="3:27" x14ac:dyDescent="0.25">
      <c r="I71" s="16"/>
      <c r="K71" s="16"/>
      <c r="L71" s="17"/>
      <c r="N71" s="17"/>
      <c r="O71" s="16"/>
      <c r="Q71" s="16"/>
      <c r="R71" s="17"/>
      <c r="AA71" s="17"/>
    </row>
    <row r="72" spans="3:27" x14ac:dyDescent="0.25">
      <c r="I72" s="16"/>
      <c r="K72" s="16"/>
      <c r="L72" s="17"/>
      <c r="N72" s="17"/>
      <c r="O72" s="16"/>
      <c r="Q72" s="16"/>
      <c r="R72" s="17"/>
      <c r="AA72" s="17"/>
    </row>
    <row r="73" spans="3:27" x14ac:dyDescent="0.25">
      <c r="I73" s="16"/>
      <c r="K73" s="16"/>
      <c r="L73" s="17"/>
      <c r="N73" s="17"/>
      <c r="O73" s="16"/>
      <c r="Q73" s="16"/>
      <c r="R73" s="17"/>
      <c r="AA73" s="17"/>
    </row>
    <row r="74" spans="3:27" x14ac:dyDescent="0.25">
      <c r="I74" s="16"/>
      <c r="K74" s="16"/>
      <c r="L74" s="17"/>
      <c r="N74" s="17"/>
      <c r="O74" s="16"/>
      <c r="Q74" s="16"/>
      <c r="R74" s="17"/>
      <c r="AA74" s="17"/>
    </row>
    <row r="75" spans="3:27" x14ac:dyDescent="0.25">
      <c r="I75" s="16"/>
      <c r="K75" s="16"/>
      <c r="L75" s="17"/>
      <c r="N75" s="17"/>
      <c r="O75" s="16"/>
      <c r="Q75" s="16"/>
      <c r="R75" s="17"/>
      <c r="AA75" s="17"/>
    </row>
    <row r="76" spans="3:27" x14ac:dyDescent="0.25">
      <c r="I76" s="16"/>
      <c r="K76" s="16"/>
      <c r="L76" s="17"/>
      <c r="N76" s="17"/>
      <c r="O76" s="16"/>
      <c r="Q76" s="16"/>
      <c r="R76" s="17"/>
      <c r="AA76" s="17"/>
    </row>
    <row r="77" spans="3:27" x14ac:dyDescent="0.25">
      <c r="I77" s="16"/>
      <c r="K77" s="16"/>
      <c r="L77" s="17"/>
      <c r="N77" s="17"/>
      <c r="O77" s="16"/>
      <c r="Q77" s="16"/>
      <c r="R77" s="17"/>
      <c r="AA77" s="17"/>
    </row>
    <row r="78" spans="3:27" x14ac:dyDescent="0.25">
      <c r="I78" s="16"/>
      <c r="K78" s="16"/>
      <c r="L78" s="17"/>
      <c r="N78" s="17"/>
      <c r="O78" s="16"/>
      <c r="Q78" s="16"/>
      <c r="R78" s="17"/>
      <c r="AA78" s="17"/>
    </row>
    <row r="79" spans="3:27" x14ac:dyDescent="0.25">
      <c r="I79" s="16"/>
      <c r="K79" s="16"/>
      <c r="L79" s="17"/>
      <c r="N79" s="17"/>
      <c r="O79" s="16"/>
      <c r="Q79" s="16"/>
      <c r="R79" s="17"/>
      <c r="AA79" s="17"/>
    </row>
    <row r="80" spans="3:27" x14ac:dyDescent="0.25">
      <c r="I80" s="16"/>
      <c r="K80" s="16"/>
      <c r="L80" s="17"/>
      <c r="N80" s="17"/>
      <c r="O80" s="16"/>
      <c r="Q80" s="16"/>
      <c r="R80" s="17"/>
      <c r="AA80" s="17"/>
    </row>
    <row r="81" spans="9:27" x14ac:dyDescent="0.25">
      <c r="I81" s="16"/>
      <c r="K81" s="16"/>
      <c r="L81" s="17"/>
      <c r="N81" s="17"/>
      <c r="O81" s="16"/>
      <c r="Q81" s="16"/>
      <c r="R81" s="17"/>
      <c r="AA81" s="17"/>
    </row>
    <row r="82" spans="9:27" x14ac:dyDescent="0.25">
      <c r="I82" s="16"/>
      <c r="K82" s="16"/>
      <c r="L82" s="17"/>
      <c r="N82" s="17"/>
      <c r="O82" s="16"/>
      <c r="Q82" s="16"/>
      <c r="R82" s="17"/>
      <c r="AA82" s="17"/>
    </row>
    <row r="83" spans="9:27" x14ac:dyDescent="0.25">
      <c r="I83" s="16"/>
      <c r="K83" s="16"/>
      <c r="L83" s="17"/>
      <c r="N83" s="17"/>
      <c r="O83" s="16"/>
      <c r="Q83" s="16"/>
      <c r="R83" s="17"/>
      <c r="AA83" s="17"/>
    </row>
    <row r="84" spans="9:27" x14ac:dyDescent="0.25">
      <c r="I84" s="16"/>
      <c r="K84" s="16"/>
      <c r="L84" s="17"/>
      <c r="N84" s="17"/>
      <c r="O84" s="16"/>
      <c r="Q84" s="16"/>
      <c r="R84" s="17"/>
      <c r="AA84" s="17"/>
    </row>
    <row r="85" spans="9:27" x14ac:dyDescent="0.25">
      <c r="I85" s="16"/>
      <c r="K85" s="16"/>
      <c r="L85" s="17"/>
      <c r="N85" s="17"/>
      <c r="O85" s="16"/>
      <c r="Q85" s="16"/>
      <c r="R85" s="17"/>
      <c r="AA85" s="17"/>
    </row>
    <row r="86" spans="9:27" x14ac:dyDescent="0.25">
      <c r="I86" s="16"/>
      <c r="K86" s="16"/>
      <c r="L86" s="17"/>
      <c r="N86" s="17"/>
      <c r="O86" s="16"/>
      <c r="Q86" s="16"/>
      <c r="R86" s="17"/>
      <c r="AA86" s="17"/>
    </row>
    <row r="87" spans="9:27" x14ac:dyDescent="0.25">
      <c r="I87" s="16"/>
      <c r="K87" s="16"/>
      <c r="L87" s="17"/>
      <c r="N87" s="17"/>
      <c r="O87" s="16"/>
      <c r="Q87" s="16"/>
      <c r="R87" s="17"/>
      <c r="AA87" s="17"/>
    </row>
    <row r="88" spans="9:27" x14ac:dyDescent="0.25">
      <c r="I88" s="16"/>
      <c r="K88" s="16"/>
      <c r="L88" s="17"/>
      <c r="N88" s="17"/>
      <c r="O88" s="16"/>
      <c r="Q88" s="16"/>
      <c r="R88" s="17"/>
      <c r="AA88" s="17"/>
    </row>
    <row r="89" spans="9:27" x14ac:dyDescent="0.25">
      <c r="I89" s="16"/>
      <c r="K89" s="16"/>
      <c r="L89" s="17"/>
      <c r="N89" s="17"/>
      <c r="O89" s="16"/>
      <c r="Q89" s="16"/>
      <c r="R89" s="17"/>
      <c r="AA89" s="17"/>
    </row>
    <row r="90" spans="9:27" x14ac:dyDescent="0.25">
      <c r="I90" s="16"/>
      <c r="K90" s="16"/>
      <c r="L90" s="17"/>
      <c r="N90" s="17"/>
      <c r="O90" s="16"/>
      <c r="Q90" s="16"/>
      <c r="R90" s="17"/>
      <c r="AA90" s="17"/>
    </row>
    <row r="91" spans="9:27" x14ac:dyDescent="0.25">
      <c r="I91" s="16"/>
      <c r="K91" s="16"/>
      <c r="L91" s="17"/>
      <c r="N91" s="17"/>
      <c r="O91" s="16"/>
      <c r="Q91" s="16"/>
      <c r="R91" s="17"/>
      <c r="AA91" s="17"/>
    </row>
    <row r="92" spans="9:27" x14ac:dyDescent="0.25">
      <c r="I92" s="16"/>
      <c r="K92" s="16"/>
      <c r="L92" s="17"/>
      <c r="N92" s="17"/>
      <c r="O92" s="16"/>
      <c r="Q92" s="16"/>
      <c r="R92" s="17"/>
      <c r="AA92" s="17"/>
    </row>
    <row r="93" spans="9:27" x14ac:dyDescent="0.25">
      <c r="I93" s="16"/>
      <c r="K93" s="16"/>
      <c r="L93" s="17"/>
      <c r="N93" s="17"/>
      <c r="O93" s="16"/>
      <c r="Q93" s="16"/>
      <c r="R93" s="17"/>
      <c r="AA93" s="17"/>
    </row>
    <row r="94" spans="9:27" x14ac:dyDescent="0.25">
      <c r="I94" s="16"/>
      <c r="K94" s="16"/>
      <c r="L94" s="17"/>
      <c r="N94" s="17"/>
      <c r="O94" s="16"/>
      <c r="Q94" s="16"/>
      <c r="R94" s="17"/>
      <c r="AA94" s="17"/>
    </row>
    <row r="95" spans="9:27" x14ac:dyDescent="0.25">
      <c r="I95" s="16"/>
      <c r="K95" s="16"/>
      <c r="L95" s="17"/>
      <c r="N95" s="17"/>
      <c r="O95" s="16"/>
      <c r="Q95" s="16"/>
      <c r="R95" s="17"/>
      <c r="AA95" s="17"/>
    </row>
    <row r="96" spans="9:27" x14ac:dyDescent="0.25">
      <c r="I96" s="16"/>
      <c r="K96" s="16"/>
      <c r="L96" s="17"/>
      <c r="N96" s="17"/>
      <c r="O96" s="16"/>
      <c r="Q96" s="16"/>
      <c r="R96" s="17"/>
      <c r="AA96" s="17"/>
    </row>
    <row r="97" spans="9:27" x14ac:dyDescent="0.25">
      <c r="I97" s="16"/>
      <c r="K97" s="16"/>
      <c r="L97" s="17"/>
      <c r="N97" s="17"/>
      <c r="O97" s="16"/>
      <c r="Q97" s="16"/>
      <c r="R97" s="17"/>
      <c r="AA97" s="17"/>
    </row>
    <row r="98" spans="9:27" x14ac:dyDescent="0.25">
      <c r="I98" s="16"/>
      <c r="K98" s="16"/>
      <c r="L98" s="17"/>
      <c r="N98" s="17"/>
      <c r="O98" s="16"/>
      <c r="Q98" s="16"/>
      <c r="R98" s="17"/>
      <c r="AA98" s="17"/>
    </row>
    <row r="99" spans="9:27" x14ac:dyDescent="0.25">
      <c r="I99" s="16"/>
      <c r="K99" s="16"/>
      <c r="L99" s="17"/>
      <c r="N99" s="17"/>
      <c r="O99" s="16"/>
      <c r="Q99" s="16"/>
      <c r="R99" s="17"/>
      <c r="AA99" s="17"/>
    </row>
    <row r="100" spans="9:27" x14ac:dyDescent="0.25">
      <c r="I100" s="16"/>
      <c r="K100" s="16"/>
      <c r="L100" s="17"/>
      <c r="N100" s="17"/>
      <c r="O100" s="16"/>
      <c r="Q100" s="16"/>
      <c r="R100" s="17"/>
      <c r="AA100" s="17"/>
    </row>
    <row r="101" spans="9:27" x14ac:dyDescent="0.25">
      <c r="I101" s="16"/>
      <c r="K101" s="16"/>
      <c r="L101" s="17"/>
      <c r="N101" s="17"/>
      <c r="O101" s="16"/>
      <c r="Q101" s="16"/>
      <c r="R101" s="17"/>
      <c r="AA101" s="17"/>
    </row>
    <row r="102" spans="9:27" x14ac:dyDescent="0.25">
      <c r="I102" s="16"/>
      <c r="K102" s="16"/>
      <c r="L102" s="17"/>
      <c r="N102" s="17"/>
      <c r="O102" s="16"/>
      <c r="Q102" s="16"/>
      <c r="R102" s="17"/>
      <c r="AA102" s="17"/>
    </row>
    <row r="103" spans="9:27" x14ac:dyDescent="0.25">
      <c r="I103" s="16"/>
      <c r="K103" s="16"/>
      <c r="L103" s="17"/>
      <c r="N103" s="17"/>
      <c r="O103" s="16"/>
      <c r="Q103" s="16"/>
      <c r="R103" s="17"/>
      <c r="AA103" s="17"/>
    </row>
    <row r="104" spans="9:27" x14ac:dyDescent="0.25">
      <c r="I104" s="16"/>
      <c r="K104" s="16"/>
      <c r="L104" s="17"/>
      <c r="N104" s="17"/>
      <c r="O104" s="16"/>
      <c r="Q104" s="16"/>
      <c r="R104" s="17"/>
      <c r="AA104" s="17"/>
    </row>
    <row r="105" spans="9:27" x14ac:dyDescent="0.25">
      <c r="I105" s="16"/>
      <c r="K105" s="16"/>
      <c r="L105" s="17"/>
      <c r="N105" s="17"/>
      <c r="O105" s="16"/>
      <c r="Q105" s="16"/>
      <c r="R105" s="17"/>
      <c r="AA105" s="17"/>
    </row>
    <row r="106" spans="9:27" x14ac:dyDescent="0.25">
      <c r="I106" s="16"/>
      <c r="K106" s="16"/>
      <c r="L106" s="17"/>
      <c r="N106" s="17"/>
      <c r="O106" s="16"/>
      <c r="Q106" s="16"/>
      <c r="R106" s="17"/>
      <c r="AA106" s="17"/>
    </row>
    <row r="107" spans="9:27" x14ac:dyDescent="0.25">
      <c r="I107" s="16"/>
      <c r="K107" s="16"/>
      <c r="L107" s="17"/>
      <c r="N107" s="17"/>
      <c r="O107" s="16"/>
      <c r="Q107" s="16"/>
      <c r="R107" s="17"/>
      <c r="AA107" s="17"/>
    </row>
    <row r="108" spans="9:27" x14ac:dyDescent="0.25">
      <c r="I108" s="16"/>
      <c r="K108" s="16"/>
      <c r="L108" s="17"/>
      <c r="N108" s="17"/>
      <c r="O108" s="16"/>
      <c r="Q108" s="16"/>
      <c r="R108" s="17"/>
      <c r="AA108" s="17"/>
    </row>
    <row r="109" spans="9:27" x14ac:dyDescent="0.25">
      <c r="I109" s="16"/>
      <c r="K109" s="16"/>
      <c r="L109" s="17"/>
      <c r="N109" s="17"/>
      <c r="O109" s="16"/>
      <c r="Q109" s="16"/>
      <c r="R109" s="17"/>
      <c r="AA109" s="17"/>
    </row>
    <row r="110" spans="9:27" x14ac:dyDescent="0.25">
      <c r="I110" s="16"/>
      <c r="K110" s="16"/>
      <c r="L110" s="17"/>
      <c r="N110" s="17"/>
      <c r="O110" s="16"/>
      <c r="Q110" s="16"/>
      <c r="R110" s="17"/>
      <c r="AA110" s="17"/>
    </row>
    <row r="111" spans="9:27" x14ac:dyDescent="0.25">
      <c r="I111" s="16"/>
      <c r="K111" s="16"/>
      <c r="L111" s="17"/>
      <c r="N111" s="17"/>
      <c r="O111" s="16"/>
      <c r="Q111" s="16"/>
      <c r="R111" s="17"/>
      <c r="AA111" s="17"/>
    </row>
    <row r="112" spans="9:27" x14ac:dyDescent="0.25">
      <c r="I112" s="16"/>
      <c r="K112" s="16"/>
      <c r="L112" s="17"/>
      <c r="N112" s="17"/>
      <c r="O112" s="16"/>
      <c r="Q112" s="16"/>
      <c r="R112" s="17"/>
      <c r="AA112" s="17"/>
    </row>
    <row r="113" spans="9:27" x14ac:dyDescent="0.25">
      <c r="I113" s="16"/>
      <c r="K113" s="16"/>
      <c r="L113" s="17"/>
      <c r="N113" s="17"/>
      <c r="O113" s="16"/>
      <c r="Q113" s="16"/>
      <c r="R113" s="17"/>
      <c r="AA113" s="17"/>
    </row>
    <row r="114" spans="9:27" x14ac:dyDescent="0.25">
      <c r="I114" s="16"/>
      <c r="K114" s="16"/>
      <c r="L114" s="17"/>
      <c r="N114" s="17"/>
      <c r="O114" s="16"/>
      <c r="Q114" s="16"/>
      <c r="R114" s="17"/>
      <c r="AA114" s="17"/>
    </row>
    <row r="115" spans="9:27" x14ac:dyDescent="0.25">
      <c r="I115" s="16"/>
      <c r="K115" s="16"/>
      <c r="L115" s="17"/>
      <c r="N115" s="17"/>
      <c r="O115" s="16"/>
      <c r="Q115" s="16"/>
      <c r="R115" s="17"/>
      <c r="AA115" s="17"/>
    </row>
    <row r="116" spans="9:27" x14ac:dyDescent="0.25">
      <c r="I116" s="16"/>
      <c r="K116" s="16"/>
      <c r="L116" s="17"/>
      <c r="N116" s="17"/>
      <c r="O116" s="16"/>
      <c r="Q116" s="16"/>
      <c r="R116" s="17"/>
      <c r="AA116" s="17"/>
    </row>
    <row r="117" spans="9:27" x14ac:dyDescent="0.25">
      <c r="I117" s="16"/>
      <c r="K117" s="16"/>
      <c r="L117" s="17"/>
      <c r="N117" s="17"/>
      <c r="O117" s="16"/>
      <c r="Q117" s="16"/>
      <c r="R117" s="17"/>
      <c r="AA117" s="17"/>
    </row>
    <row r="118" spans="9:27" x14ac:dyDescent="0.25">
      <c r="I118" s="16"/>
      <c r="K118" s="16"/>
      <c r="L118" s="17"/>
      <c r="N118" s="17"/>
      <c r="O118" s="16"/>
      <c r="Q118" s="16"/>
      <c r="R118" s="17"/>
      <c r="AA118" s="17"/>
    </row>
    <row r="119" spans="9:27" x14ac:dyDescent="0.25">
      <c r="I119" s="16"/>
      <c r="K119" s="16"/>
      <c r="L119" s="17"/>
      <c r="N119" s="17"/>
      <c r="O119" s="16"/>
      <c r="Q119" s="16"/>
      <c r="R119" s="17"/>
      <c r="AA119" s="17"/>
    </row>
    <row r="120" spans="9:27" x14ac:dyDescent="0.25">
      <c r="I120" s="16"/>
      <c r="K120" s="16"/>
      <c r="L120" s="17"/>
      <c r="N120" s="17"/>
      <c r="O120" s="16"/>
      <c r="Q120" s="16"/>
      <c r="R120" s="17"/>
      <c r="AA120" s="17"/>
    </row>
    <row r="121" spans="9:27" x14ac:dyDescent="0.25">
      <c r="I121" s="16"/>
      <c r="K121" s="16"/>
      <c r="L121" s="17"/>
      <c r="N121" s="17"/>
      <c r="O121" s="16"/>
      <c r="Q121" s="16"/>
      <c r="R121" s="17"/>
      <c r="AA121" s="17"/>
    </row>
    <row r="122" spans="9:27" x14ac:dyDescent="0.25">
      <c r="I122" s="16"/>
      <c r="K122" s="16"/>
      <c r="L122" s="17"/>
      <c r="N122" s="17"/>
      <c r="O122" s="16"/>
      <c r="Q122" s="16"/>
      <c r="R122" s="17"/>
      <c r="AA122" s="17"/>
    </row>
    <row r="123" spans="9:27" x14ac:dyDescent="0.25">
      <c r="I123" s="16"/>
      <c r="K123" s="16"/>
      <c r="L123" s="17"/>
      <c r="N123" s="17"/>
      <c r="O123" s="16"/>
      <c r="Q123" s="16"/>
      <c r="R123" s="17"/>
      <c r="AA123" s="17"/>
    </row>
    <row r="124" spans="9:27" x14ac:dyDescent="0.25">
      <c r="I124" s="16"/>
      <c r="K124" s="16"/>
      <c r="L124" s="17"/>
      <c r="N124" s="17"/>
      <c r="O124" s="16"/>
      <c r="Q124" s="16"/>
      <c r="R124" s="17"/>
      <c r="AA124" s="17"/>
    </row>
    <row r="125" spans="9:27" x14ac:dyDescent="0.25">
      <c r="I125" s="16"/>
      <c r="K125" s="16"/>
      <c r="L125" s="17"/>
      <c r="N125" s="17"/>
      <c r="O125" s="16"/>
      <c r="Q125" s="16"/>
      <c r="R125" s="17"/>
      <c r="AA125" s="17"/>
    </row>
    <row r="126" spans="9:27" x14ac:dyDescent="0.25">
      <c r="I126" s="16"/>
      <c r="K126" s="16"/>
      <c r="L126" s="17"/>
      <c r="N126" s="17"/>
      <c r="O126" s="16"/>
      <c r="Q126" s="16"/>
      <c r="R126" s="17"/>
      <c r="AA126" s="17"/>
    </row>
    <row r="127" spans="9:27" x14ac:dyDescent="0.25">
      <c r="I127" s="16"/>
      <c r="K127" s="16"/>
      <c r="L127" s="17"/>
      <c r="N127" s="17"/>
      <c r="O127" s="16"/>
      <c r="Q127" s="16"/>
      <c r="R127" s="17"/>
      <c r="AA127" s="17"/>
    </row>
    <row r="128" spans="9:27" x14ac:dyDescent="0.25">
      <c r="I128" s="16"/>
      <c r="K128" s="16"/>
      <c r="L128" s="17"/>
      <c r="N128" s="17"/>
      <c r="O128" s="16"/>
      <c r="Q128" s="16"/>
      <c r="R128" s="17"/>
      <c r="AA128" s="17"/>
    </row>
    <row r="129" spans="9:27" x14ac:dyDescent="0.25">
      <c r="I129" s="16"/>
      <c r="K129" s="16"/>
      <c r="L129" s="17"/>
      <c r="N129" s="17"/>
      <c r="O129" s="16"/>
      <c r="Q129" s="16"/>
      <c r="R129" s="17"/>
      <c r="AA129" s="17"/>
    </row>
    <row r="130" spans="9:27" x14ac:dyDescent="0.25">
      <c r="I130" s="16"/>
      <c r="K130" s="16"/>
      <c r="L130" s="17"/>
      <c r="N130" s="17"/>
      <c r="O130" s="16"/>
      <c r="Q130" s="16"/>
      <c r="R130" s="17"/>
      <c r="AA130" s="17"/>
    </row>
    <row r="131" spans="9:27" x14ac:dyDescent="0.25">
      <c r="I131" s="16"/>
      <c r="K131" s="16"/>
      <c r="L131" s="17"/>
      <c r="N131" s="17"/>
      <c r="O131" s="16"/>
      <c r="Q131" s="16"/>
      <c r="R131" s="17"/>
      <c r="AA131" s="17"/>
    </row>
    <row r="132" spans="9:27" x14ac:dyDescent="0.25">
      <c r="I132" s="16"/>
      <c r="K132" s="16"/>
      <c r="L132" s="17"/>
      <c r="N132" s="17"/>
      <c r="O132" s="16"/>
      <c r="Q132" s="16"/>
      <c r="R132" s="17"/>
      <c r="AA132" s="17"/>
    </row>
    <row r="133" spans="9:27" x14ac:dyDescent="0.25">
      <c r="I133" s="16"/>
      <c r="K133" s="16"/>
      <c r="L133" s="17"/>
      <c r="N133" s="17"/>
      <c r="O133" s="16"/>
      <c r="Q133" s="16"/>
      <c r="R133" s="17"/>
      <c r="AA133" s="17"/>
    </row>
    <row r="134" spans="9:27" x14ac:dyDescent="0.25">
      <c r="I134" s="16"/>
      <c r="K134" s="16"/>
      <c r="L134" s="17"/>
      <c r="N134" s="17"/>
      <c r="O134" s="16"/>
      <c r="Q134" s="16"/>
      <c r="R134" s="17"/>
      <c r="AA134" s="17"/>
    </row>
    <row r="135" spans="9:27" x14ac:dyDescent="0.25">
      <c r="I135" s="16"/>
      <c r="K135" s="16"/>
      <c r="L135" s="17"/>
      <c r="N135" s="17"/>
      <c r="O135" s="16"/>
      <c r="Q135" s="16"/>
      <c r="R135" s="17"/>
      <c r="AA135" s="17"/>
    </row>
    <row r="136" spans="9:27" x14ac:dyDescent="0.25">
      <c r="I136" s="16"/>
      <c r="K136" s="16"/>
      <c r="L136" s="17"/>
      <c r="N136" s="17"/>
      <c r="O136" s="16"/>
      <c r="Q136" s="16"/>
      <c r="R136" s="17"/>
      <c r="AA136" s="17"/>
    </row>
    <row r="137" spans="9:27" x14ac:dyDescent="0.25">
      <c r="I137" s="16"/>
      <c r="K137" s="16"/>
      <c r="L137" s="17"/>
      <c r="N137" s="17"/>
      <c r="O137" s="16"/>
      <c r="Q137" s="16"/>
      <c r="R137" s="17"/>
      <c r="AA137" s="17"/>
    </row>
    <row r="138" spans="9:27" x14ac:dyDescent="0.25">
      <c r="I138" s="16"/>
      <c r="K138" s="16"/>
      <c r="L138" s="17"/>
      <c r="N138" s="17"/>
      <c r="O138" s="16"/>
      <c r="Q138" s="16"/>
      <c r="R138" s="17"/>
      <c r="AA138" s="17"/>
    </row>
    <row r="139" spans="9:27" x14ac:dyDescent="0.25">
      <c r="I139" s="16"/>
      <c r="K139" s="16"/>
      <c r="L139" s="17"/>
      <c r="N139" s="17"/>
      <c r="O139" s="16"/>
      <c r="Q139" s="16"/>
      <c r="R139" s="17"/>
      <c r="AA139" s="17"/>
    </row>
    <row r="140" spans="9:27" x14ac:dyDescent="0.25">
      <c r="I140" s="16"/>
      <c r="K140" s="16"/>
      <c r="L140" s="17"/>
      <c r="N140" s="17"/>
      <c r="O140" s="16"/>
      <c r="Q140" s="16"/>
      <c r="R140" s="17"/>
      <c r="AA140" s="17"/>
    </row>
    <row r="141" spans="9:27" x14ac:dyDescent="0.25">
      <c r="I141" s="16"/>
      <c r="K141" s="16"/>
      <c r="L141" s="17"/>
      <c r="N141" s="17"/>
      <c r="O141" s="16"/>
      <c r="Q141" s="16"/>
      <c r="R141" s="17"/>
      <c r="AA141" s="17"/>
    </row>
    <row r="142" spans="9:27" x14ac:dyDescent="0.25">
      <c r="I142" s="16"/>
      <c r="K142" s="16"/>
      <c r="L142" s="17"/>
      <c r="N142" s="17"/>
      <c r="O142" s="16"/>
      <c r="Q142" s="16"/>
      <c r="R142" s="17"/>
      <c r="AA142" s="17"/>
    </row>
    <row r="143" spans="9:27" x14ac:dyDescent="0.25">
      <c r="I143" s="16"/>
      <c r="K143" s="16"/>
      <c r="L143" s="17"/>
      <c r="N143" s="17"/>
      <c r="O143" s="16"/>
      <c r="Q143" s="16"/>
      <c r="R143" s="17"/>
      <c r="AA143" s="17"/>
    </row>
    <row r="144" spans="9:27" x14ac:dyDescent="0.25">
      <c r="I144" s="16"/>
      <c r="K144" s="16"/>
      <c r="L144" s="17"/>
      <c r="N144" s="17"/>
      <c r="O144" s="16"/>
      <c r="Q144" s="16"/>
      <c r="R144" s="17"/>
      <c r="AA144" s="17"/>
    </row>
    <row r="145" spans="9:27" x14ac:dyDescent="0.25">
      <c r="I145" s="16"/>
      <c r="K145" s="16"/>
      <c r="L145" s="17"/>
      <c r="N145" s="17"/>
      <c r="O145" s="16"/>
      <c r="Q145" s="16"/>
      <c r="R145" s="17"/>
      <c r="AA145" s="17"/>
    </row>
    <row r="146" spans="9:27" x14ac:dyDescent="0.25">
      <c r="I146" s="16"/>
      <c r="K146" s="16"/>
      <c r="L146" s="17"/>
      <c r="N146" s="17"/>
      <c r="O146" s="16"/>
      <c r="Q146" s="16"/>
      <c r="R146" s="17"/>
      <c r="AA146" s="17"/>
    </row>
    <row r="147" spans="9:27" x14ac:dyDescent="0.25">
      <c r="I147" s="16"/>
      <c r="K147" s="16"/>
      <c r="L147" s="17"/>
      <c r="N147" s="17"/>
      <c r="O147" s="16"/>
      <c r="Q147" s="16"/>
      <c r="R147" s="17"/>
      <c r="AA147" s="17"/>
    </row>
    <row r="148" spans="9:27" x14ac:dyDescent="0.25">
      <c r="I148" s="16"/>
      <c r="K148" s="16"/>
      <c r="L148" s="17"/>
      <c r="N148" s="17"/>
      <c r="O148" s="16"/>
      <c r="Q148" s="16"/>
      <c r="R148" s="17"/>
      <c r="AA148" s="17"/>
    </row>
    <row r="149" spans="9:27" x14ac:dyDescent="0.25">
      <c r="I149" s="16"/>
      <c r="K149" s="16"/>
      <c r="L149" s="17"/>
      <c r="N149" s="17"/>
      <c r="O149" s="16"/>
      <c r="Q149" s="16"/>
      <c r="R149" s="17"/>
      <c r="AA149" s="17"/>
    </row>
    <row r="150" spans="9:27" x14ac:dyDescent="0.25">
      <c r="I150" s="16"/>
      <c r="K150" s="16"/>
      <c r="L150" s="17"/>
      <c r="N150" s="17"/>
      <c r="O150" s="16"/>
      <c r="Q150" s="16"/>
      <c r="R150" s="17"/>
      <c r="AA150" s="17"/>
    </row>
    <row r="151" spans="9:27" x14ac:dyDescent="0.25">
      <c r="I151" s="16"/>
      <c r="K151" s="16"/>
      <c r="L151" s="17"/>
      <c r="N151" s="17"/>
      <c r="O151" s="16"/>
      <c r="Q151" s="16"/>
      <c r="R151" s="17"/>
      <c r="AA151" s="17"/>
    </row>
    <row r="152" spans="9:27" x14ac:dyDescent="0.25">
      <c r="I152" s="16"/>
      <c r="K152" s="16"/>
      <c r="L152" s="17"/>
      <c r="N152" s="17"/>
      <c r="O152" s="16"/>
      <c r="Q152" s="16"/>
      <c r="R152" s="17"/>
      <c r="AA152" s="17"/>
    </row>
    <row r="153" spans="9:27" x14ac:dyDescent="0.25">
      <c r="I153" s="16"/>
      <c r="K153" s="16"/>
      <c r="L153" s="17"/>
      <c r="N153" s="17"/>
      <c r="O153" s="16"/>
      <c r="Q153" s="16"/>
      <c r="R153" s="17"/>
      <c r="AA153" s="17"/>
    </row>
    <row r="154" spans="9:27" x14ac:dyDescent="0.25">
      <c r="I154" s="16"/>
      <c r="K154" s="16"/>
      <c r="L154" s="17"/>
      <c r="N154" s="17"/>
      <c r="O154" s="16"/>
      <c r="Q154" s="16"/>
      <c r="R154" s="17"/>
      <c r="AA154" s="17"/>
    </row>
    <row r="155" spans="9:27" x14ac:dyDescent="0.25">
      <c r="I155" s="16"/>
      <c r="K155" s="16"/>
      <c r="L155" s="17"/>
      <c r="N155" s="17"/>
      <c r="O155" s="16"/>
      <c r="Q155" s="16"/>
      <c r="R155" s="17"/>
      <c r="AA155" s="17"/>
    </row>
  </sheetData>
  <mergeCells count="19">
    <mergeCell ref="N1:AE1"/>
    <mergeCell ref="F1:M1"/>
    <mergeCell ref="A1:E1"/>
    <mergeCell ref="B3:G3"/>
    <mergeCell ref="H3:M3"/>
    <mergeCell ref="N3:S3"/>
    <mergeCell ref="T3:Y3"/>
    <mergeCell ref="Z3:AE3"/>
    <mergeCell ref="B24:E24"/>
    <mergeCell ref="G24:J24"/>
    <mergeCell ref="L24:O24"/>
    <mergeCell ref="Q24:T24"/>
    <mergeCell ref="Y21:AB21"/>
    <mergeCell ref="B22:J23"/>
    <mergeCell ref="L22:T23"/>
    <mergeCell ref="Y22:Z22"/>
    <mergeCell ref="AA22:AB22"/>
    <mergeCell ref="Y23:Z23"/>
    <mergeCell ref="AA23:AB23"/>
  </mergeCells>
  <conditionalFormatting sqref="B24">
    <cfRule type="cellIs" dxfId="14" priority="3" operator="between">
      <formula>10</formula>
      <formula>-10</formula>
    </cfRule>
  </conditionalFormatting>
  <conditionalFormatting sqref="E34:F42">
    <cfRule type="cellIs" dxfId="13" priority="10" operator="greaterThan">
      <formula>10</formula>
    </cfRule>
    <cfRule type="cellIs" dxfId="12" priority="11" operator="lessThan">
      <formula>-10</formula>
    </cfRule>
  </conditionalFormatting>
  <conditionalFormatting sqref="G5:G19">
    <cfRule type="cellIs" dxfId="11" priority="16" operator="between">
      <formula>10</formula>
      <formula>-10</formula>
    </cfRule>
  </conditionalFormatting>
  <conditionalFormatting sqref="L24">
    <cfRule type="cellIs" dxfId="10" priority="1" operator="between">
      <formula>10</formula>
      <formula>-10</formula>
    </cfRule>
  </conditionalFormatting>
  <conditionalFormatting sqref="M5:M19">
    <cfRule type="cellIs" dxfId="9" priority="15" operator="between">
      <formula>10</formula>
      <formula>-10</formula>
    </cfRule>
  </conditionalFormatting>
  <conditionalFormatting sqref="Q5:S19">
    <cfRule type="cellIs" dxfId="8" priority="4" operator="greaterThan">
      <formula>10</formula>
    </cfRule>
    <cfRule type="cellIs" dxfId="7" priority="5" operator="lessThan">
      <formula>-10</formula>
    </cfRule>
  </conditionalFormatting>
  <conditionalFormatting sqref="S5:S19">
    <cfRule type="cellIs" dxfId="6" priority="6" operator="between">
      <formula>10</formula>
      <formula>-10</formula>
    </cfRule>
  </conditionalFormatting>
  <conditionalFormatting sqref="W5:Y12 E5:G19 K5:M19">
    <cfRule type="cellIs" dxfId="5" priority="12" operator="greaterThan">
      <formula>10</formula>
    </cfRule>
    <cfRule type="cellIs" dxfId="4" priority="13" operator="lessThan">
      <formula>-10</formula>
    </cfRule>
  </conditionalFormatting>
  <conditionalFormatting sqref="Y5:Y12">
    <cfRule type="cellIs" dxfId="3" priority="14" operator="between">
      <formula>10</formula>
      <formula>-10</formula>
    </cfRule>
  </conditionalFormatting>
  <conditionalFormatting sqref="AC5:AE15">
    <cfRule type="cellIs" dxfId="2" priority="7" operator="greaterThan">
      <formula>10</formula>
    </cfRule>
    <cfRule type="cellIs" dxfId="1" priority="8" operator="lessThan">
      <formula>-10</formula>
    </cfRule>
  </conditionalFormatting>
  <conditionalFormatting sqref="AE5:AE15">
    <cfRule type="cellIs" dxfId="0" priority="9" operator="between">
      <formula>10</formula>
      <formula>-10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 trim</vt:lpstr>
      <vt:lpstr>Second trim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2026-02-19T04:06:12Z</dcterms:modified>
</cp:coreProperties>
</file>