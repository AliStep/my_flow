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PANORAMA2\"/>
    </mc:Choice>
  </mc:AlternateContent>
  <xr:revisionPtr revIDLastSave="0" documentId="8_{619F8C96-682B-4C7C-8782-93078E220EB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ilha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16" i="3" l="1"/>
  <c r="X17" i="3"/>
  <c r="W16" i="3"/>
  <c r="W17" i="3"/>
  <c r="S19" i="3"/>
  <c r="S20" i="3"/>
  <c r="S21" i="3"/>
  <c r="G19" i="3"/>
  <c r="G20" i="3"/>
  <c r="G21" i="3"/>
  <c r="M19" i="3"/>
  <c r="M20" i="3"/>
  <c r="M21" i="3"/>
  <c r="L17" i="3"/>
  <c r="L18" i="3"/>
  <c r="L19" i="3"/>
  <c r="L20" i="3"/>
  <c r="L21" i="3"/>
  <c r="K17" i="3"/>
  <c r="K18" i="3"/>
  <c r="K19" i="3"/>
  <c r="K20" i="3"/>
  <c r="K21" i="3"/>
  <c r="F17" i="3"/>
  <c r="F18" i="3"/>
  <c r="F19" i="3"/>
  <c r="F20" i="3"/>
  <c r="F21" i="3"/>
  <c r="E17" i="3" l="1"/>
  <c r="E18" i="3"/>
  <c r="E19" i="3"/>
  <c r="E20" i="3"/>
  <c r="E21" i="3"/>
  <c r="AD11" i="3"/>
  <c r="AC11" i="3"/>
  <c r="Q17" i="3"/>
  <c r="Q18" i="3"/>
  <c r="Q19" i="3"/>
  <c r="Q20" i="3"/>
  <c r="Q21" i="3"/>
  <c r="R17" i="3"/>
  <c r="R18" i="3"/>
  <c r="R19" i="3"/>
  <c r="R20" i="3"/>
  <c r="R21" i="3"/>
  <c r="AE11" i="3" l="1"/>
  <c r="Y17" i="3"/>
  <c r="Y16" i="3"/>
  <c r="S18" i="3"/>
  <c r="S17" i="3"/>
  <c r="M18" i="3"/>
  <c r="M17" i="3"/>
  <c r="M16" i="3"/>
  <c r="M15" i="3"/>
  <c r="M14" i="3"/>
  <c r="M13" i="3"/>
  <c r="M12" i="3"/>
  <c r="G18" i="3"/>
  <c r="G17" i="3"/>
  <c r="AI11" i="3"/>
  <c r="AJ11" i="3"/>
  <c r="AK11" i="3"/>
  <c r="AI12" i="3"/>
  <c r="AJ12" i="3"/>
  <c r="AK12" i="3"/>
  <c r="AI13" i="3"/>
  <c r="AJ13" i="3"/>
  <c r="AK13" i="3"/>
  <c r="AI14" i="3"/>
  <c r="AJ14" i="3"/>
  <c r="AK14" i="3"/>
  <c r="AI15" i="3"/>
  <c r="AJ15" i="3"/>
  <c r="AK15" i="3"/>
  <c r="AI16" i="3"/>
  <c r="AJ16" i="3"/>
  <c r="AK16" i="3"/>
  <c r="AK10" i="3"/>
  <c r="AJ10" i="3"/>
  <c r="AI10" i="3"/>
  <c r="AK9" i="3"/>
  <c r="AJ9" i="3"/>
  <c r="AI9" i="3"/>
  <c r="AK8" i="3"/>
  <c r="AJ8" i="3"/>
  <c r="AI8" i="3"/>
  <c r="AK7" i="3"/>
  <c r="AJ7" i="3"/>
  <c r="AI7" i="3"/>
  <c r="AK6" i="3"/>
  <c r="AJ6" i="3"/>
  <c r="AI6" i="3"/>
  <c r="AK5" i="3"/>
  <c r="AJ5" i="3"/>
  <c r="AI5" i="3"/>
  <c r="AK4" i="3"/>
  <c r="AJ4" i="3"/>
  <c r="AI4" i="3"/>
  <c r="Y12" i="3"/>
  <c r="Y13" i="3"/>
  <c r="Y14" i="3"/>
  <c r="Y15" i="3"/>
  <c r="W12" i="3"/>
  <c r="W13" i="3"/>
  <c r="W14" i="3"/>
  <c r="X15" i="3"/>
  <c r="Y8" i="3"/>
  <c r="Y9" i="3"/>
  <c r="Y10" i="3"/>
  <c r="Y11" i="3"/>
  <c r="W8" i="3"/>
  <c r="W9" i="3"/>
  <c r="W10" i="3"/>
  <c r="X11" i="3"/>
  <c r="K12" i="3"/>
  <c r="K13" i="3"/>
  <c r="L14" i="3"/>
  <c r="L15" i="3"/>
  <c r="L16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Q12" i="3"/>
  <c r="R13" i="3"/>
  <c r="Q14" i="3"/>
  <c r="R15" i="3"/>
  <c r="E12" i="3"/>
  <c r="F13" i="3"/>
  <c r="F14" i="3"/>
  <c r="F15" i="3"/>
  <c r="Q13" i="3"/>
  <c r="E14" i="3"/>
  <c r="Q4" i="3"/>
  <c r="R5" i="3"/>
  <c r="R6" i="3"/>
  <c r="Q7" i="3"/>
  <c r="R8" i="3"/>
  <c r="R9" i="3"/>
  <c r="Q10" i="3"/>
  <c r="Q11" i="3"/>
  <c r="F16" i="3"/>
  <c r="R16" i="3"/>
  <c r="E8" i="3"/>
  <c r="F9" i="3"/>
  <c r="F10" i="3"/>
  <c r="E11" i="3"/>
  <c r="E4" i="3"/>
  <c r="E5" i="3"/>
  <c r="F6" i="3"/>
  <c r="F7" i="3"/>
  <c r="W4" i="3"/>
  <c r="G4" i="3"/>
  <c r="K4" i="3"/>
  <c r="M4" i="3"/>
  <c r="S4" i="3"/>
  <c r="Y4" i="3"/>
  <c r="G5" i="3"/>
  <c r="L5" i="3"/>
  <c r="K5" i="3"/>
  <c r="M5" i="3"/>
  <c r="S5" i="3"/>
  <c r="W5" i="3"/>
  <c r="Y5" i="3"/>
  <c r="G6" i="3"/>
  <c r="L6" i="3"/>
  <c r="K6" i="3"/>
  <c r="M6" i="3"/>
  <c r="S6" i="3"/>
  <c r="W6" i="3"/>
  <c r="Y6" i="3"/>
  <c r="G7" i="3"/>
  <c r="L7" i="3"/>
  <c r="K7" i="3"/>
  <c r="M7" i="3"/>
  <c r="S7" i="3"/>
  <c r="W7" i="3"/>
  <c r="Y7" i="3"/>
  <c r="G8" i="3"/>
  <c r="L8" i="3"/>
  <c r="K8" i="3"/>
  <c r="M8" i="3"/>
  <c r="S8" i="3"/>
  <c r="G9" i="3"/>
  <c r="K9" i="3"/>
  <c r="M9" i="3"/>
  <c r="S9" i="3"/>
  <c r="G10" i="3"/>
  <c r="K10" i="3"/>
  <c r="M10" i="3"/>
  <c r="S10" i="3"/>
  <c r="G11" i="3"/>
  <c r="L11" i="3"/>
  <c r="M11" i="3"/>
  <c r="S11" i="3"/>
  <c r="G12" i="3"/>
  <c r="S12" i="3"/>
  <c r="G13" i="3"/>
  <c r="S13" i="3"/>
  <c r="G14" i="3"/>
  <c r="S14" i="3"/>
  <c r="G15" i="3"/>
  <c r="S15" i="3"/>
  <c r="G16" i="3"/>
  <c r="S16" i="3"/>
  <c r="L10" i="3"/>
  <c r="Q8" i="3" l="1"/>
  <c r="R7" i="3"/>
  <c r="Q6" i="3"/>
  <c r="Q5" i="3"/>
  <c r="X14" i="3"/>
  <c r="X13" i="3"/>
  <c r="W15" i="3"/>
  <c r="X5" i="3"/>
  <c r="X12" i="3"/>
  <c r="W11" i="3"/>
  <c r="X10" i="3"/>
  <c r="X9" i="3"/>
  <c r="K14" i="3"/>
  <c r="L9" i="3"/>
  <c r="E6" i="3"/>
  <c r="F8" i="3"/>
  <c r="R4" i="3"/>
  <c r="Q15" i="3"/>
  <c r="L13" i="3"/>
  <c r="E16" i="3"/>
  <c r="X4" i="3"/>
  <c r="K11" i="3"/>
  <c r="Q16" i="3"/>
  <c r="F11" i="3"/>
  <c r="F12" i="3"/>
  <c r="X8" i="3"/>
  <c r="R14" i="3"/>
  <c r="Q9" i="3"/>
  <c r="L12" i="3"/>
  <c r="L4" i="3"/>
  <c r="K16" i="3"/>
  <c r="K15" i="3"/>
  <c r="E15" i="3"/>
  <c r="X7" i="3"/>
  <c r="X6" i="3"/>
  <c r="R11" i="3"/>
  <c r="R12" i="3"/>
  <c r="R10" i="3"/>
  <c r="F5" i="3"/>
  <c r="E10" i="3"/>
  <c r="F4" i="3"/>
  <c r="E7" i="3"/>
  <c r="E9" i="3"/>
  <c r="E13" i="3"/>
</calcChain>
</file>

<file path=xl/sharedStrings.xml><?xml version="1.0" encoding="utf-8"?>
<sst xmlns="http://schemas.openxmlformats.org/spreadsheetml/2006/main" count="47" uniqueCount="15">
  <si>
    <t>A</t>
  </si>
  <si>
    <t>B</t>
  </si>
  <si>
    <t>C</t>
  </si>
  <si>
    <t>D</t>
  </si>
  <si>
    <t>dir.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</si>
  <si>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</si>
  <si>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</si>
  <si>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</si>
  <si>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</si>
  <si>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</si>
  <si>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</si>
  <si>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</si>
  <si>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</si>
  <si>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E</t>
  </si>
  <si>
    <t>BRAKE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</si>
</sst>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0.0"/>
  </numFmts>
  <fonts count="24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Times New Roman"/>
      <charset val="204"/>
    </font>
    <font>
      <sz val="10"/>
      <color rgb="FF544B77"/>
      <name val="Courier New"/>
      <family val="2"/>
    </font>
    <font>
      <b/>
      <sz val="10"/>
      <color theme="1"/>
      <name val="Arial"/>
      <family val="2"/>
    </font>
    <font>
      <b/>
      <sz val="10"/>
      <color theme="5" tint="-0.499984740745262"/>
      <name val="Arial"/>
      <family val="2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ourier New"/>
      <family val="2"/>
    </font>
    <font>
      <sz val="10"/>
      <color theme="1"/>
      <name val="Calibri Light"/>
      <family val="2"/>
      <scheme val="major"/>
    </font>
    <font>
      <sz val="10"/>
      <name val="Calibri Light"/>
      <family val="2"/>
      <scheme val="major"/>
    </font>
    <font>
      <b/>
      <sz val="10"/>
      <name val="Calibri"/>
      <family val="2"/>
      <scheme val="minor"/>
    </font>
    <font>
      <sz val="10"/>
      <color rgb="FF000000"/>
      <name val="Calibri Light"/>
      <family val="2"/>
      <scheme val="major"/>
    </font>
    <font>
      <sz val="10"/>
      <color rgb="FF3F3F3F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14">
    <xf numFmtId="0" fontId="0" fillId="0" borderId="0"/>
    <xf numFmtId="0" fontId="1" fillId="0" borderId="0"/>
    <xf numFmtId="0" fontId="2" fillId="0" borderId="0"/>
    <xf numFmtId="0" fontId="7" fillId="0" borderId="0"/>
    <xf numFmtId="0" fontId="1" fillId="0" borderId="0">
      <alignment horizontal="center"/>
    </xf>
    <xf numFmtId="0" fontId="1" fillId="0" borderId="0">
      <alignment horizontal="left"/>
    </xf>
    <xf numFmtId="0" fontId="9" fillId="0" borderId="0">
      <alignment horizontal="left"/>
    </xf>
    <xf numFmtId="0" fontId="1" fillId="0" borderId="0">
      <alignment horizontal="center"/>
    </xf>
    <xf numFmtId="0" fontId="1" fillId="0" borderId="0">
      <alignment horizontal="right"/>
    </xf>
    <xf numFmtId="0" fontId="1" fillId="0" borderId="0">
      <alignment horizontal="left"/>
    </xf>
    <xf numFmtId="0" fontId="7" fillId="0" borderId="0"/>
    <xf numFmtId="0" fontId="1" fillId="0" borderId="0">
      <alignment horizontal="left"/>
    </xf>
    <xf numFmtId="0" fontId="10" fillId="0" borderId="0">
      <alignment horizontal="left"/>
    </xf>
    <xf numFmtId="0" fontId="8" fillId="0" borderId="0">
      <alignment horizontal="left"/>
    </xf>
  </cellStyleXfs>
  <cellXfs count="85">
    <xf numFmtId="0" fontId="0" fillId="0" borderId="0" xfId="0"/>
    <xf numFmtId="164" fontId="3" fillId="0" borderId="0" xfId="2" applyNumberFormat="1" applyFont="1" applyAlignment="1">
      <alignment horizontal="left" vertical="top" wrapText="1"/>
    </xf>
    <xf numFmtId="1" fontId="4" fillId="0" borderId="8" xfId="1" applyNumberFormat="1" applyFont="1" applyBorder="1" applyAlignment="1">
      <alignment horizontal="center"/>
    </xf>
    <xf numFmtId="1" fontId="4" fillId="0" borderId="9" xfId="1" applyNumberFormat="1" applyFont="1" applyBorder="1" applyAlignment="1">
      <alignment horizontal="center"/>
    </xf>
    <xf numFmtId="0" fontId="6" fillId="0" borderId="0" xfId="2" applyFont="1" applyAlignment="1">
      <alignment horizontal="left" vertical="top" wrapText="1"/>
    </xf>
    <xf numFmtId="1" fontId="11" fillId="0" borderId="11" xfId="1" applyNumberFormat="1" applyFont="1" applyBorder="1" applyAlignment="1">
      <alignment horizontal="right"/>
    </xf>
    <xf numFmtId="1" fontId="11" fillId="0" borderId="12" xfId="1" applyNumberFormat="1" applyFont="1" applyBorder="1" applyAlignment="1">
      <alignment horizontal="right"/>
    </xf>
    <xf numFmtId="1" fontId="12" fillId="0" borderId="10" xfId="0" applyNumberFormat="1" applyFont="1" applyBorder="1" applyAlignment="1">
      <alignment horizontal="center"/>
    </xf>
    <xf numFmtId="1" fontId="12" fillId="0" borderId="7" xfId="0" applyNumberFormat="1" applyFont="1" applyBorder="1" applyAlignment="1">
      <alignment horizontal="center"/>
    </xf>
    <xf numFmtId="1" fontId="14" fillId="0" borderId="2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/>
    </xf>
    <xf numFmtId="1" fontId="12" fillId="0" borderId="0" xfId="0" applyNumberFormat="1" applyFont="1"/>
    <xf numFmtId="1" fontId="12" fillId="0" borderId="0" xfId="0" applyNumberFormat="1" applyFont="1" applyAlignment="1">
      <alignment horizontal="center"/>
    </xf>
    <xf numFmtId="1" fontId="17" fillId="0" borderId="0" xfId="0" applyNumberFormat="1" applyFont="1"/>
    <xf numFmtId="1" fontId="12" fillId="0" borderId="3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" fontId="12" fillId="0" borderId="4" xfId="0" applyNumberFormat="1" applyFont="1" applyBorder="1" applyAlignment="1">
      <alignment horizontal="center" vertical="center"/>
    </xf>
    <xf numFmtId="1" fontId="12" fillId="0" borderId="9" xfId="0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0" fontId="12" fillId="0" borderId="0" xfId="0" applyFont="1"/>
    <xf numFmtId="164" fontId="13" fillId="0" borderId="0" xfId="2" applyNumberFormat="1" applyFont="1" applyAlignment="1">
      <alignment horizontal="center" vertical="top" wrapText="1"/>
    </xf>
    <xf numFmtId="164" fontId="18" fillId="0" borderId="0" xfId="2" applyNumberFormat="1" applyFont="1" applyAlignment="1">
      <alignment horizontal="left" vertical="top" wrapText="1"/>
    </xf>
    <xf numFmtId="164" fontId="12" fillId="0" borderId="0" xfId="2" applyNumberFormat="1" applyFont="1" applyAlignment="1">
      <alignment horizontal="left" vertical="top" wrapText="1"/>
    </xf>
    <xf numFmtId="1" fontId="12" fillId="0" borderId="0" xfId="0" applyNumberFormat="1" applyFont="1" applyAlignment="1">
      <alignment horizontal="left"/>
    </xf>
    <xf numFmtId="2" fontId="12" fillId="0" borderId="0" xfId="0" applyNumberFormat="1" applyFont="1"/>
    <xf numFmtId="0" fontId="14" fillId="0" borderId="0" xfId="0" applyFont="1"/>
    <xf numFmtId="1" fontId="4" fillId="0" borderId="7" xfId="1" applyNumberFormat="1" applyFont="1" applyBorder="1" applyAlignment="1">
      <alignment horizontal="right"/>
    </xf>
    <xf numFmtId="1" fontId="5" fillId="0" borderId="2" xfId="1" applyNumberFormat="1" applyFont="1" applyBorder="1" applyAlignment="1">
      <alignment horizontal="center" vertical="center"/>
    </xf>
    <xf numFmtId="1" fontId="4" fillId="0" borderId="2" xfId="1" applyNumberFormat="1" applyFont="1" applyBorder="1" applyAlignment="1">
      <alignment horizontal="center" vertical="center"/>
    </xf>
    <xf numFmtId="1" fontId="4" fillId="0" borderId="3" xfId="1" applyNumberFormat="1" applyFont="1" applyBorder="1" applyAlignment="1">
      <alignment horizontal="right"/>
    </xf>
    <xf numFmtId="1" fontId="4" fillId="0" borderId="2" xfId="1" applyNumberFormat="1" applyFont="1" applyBorder="1" applyAlignment="1">
      <alignment horizontal="right"/>
    </xf>
    <xf numFmtId="1" fontId="19" fillId="0" borderId="0" xfId="0" applyNumberFormat="1" applyFont="1" applyAlignment="1">
      <alignment horizontal="center" vertical="center"/>
    </xf>
    <xf numFmtId="1" fontId="19" fillId="0" borderId="2" xfId="0" applyNumberFormat="1" applyFont="1" applyBorder="1" applyAlignment="1">
      <alignment horizontal="center" vertical="center"/>
    </xf>
    <xf numFmtId="1" fontId="19" fillId="0" borderId="8" xfId="0" applyNumberFormat="1" applyFont="1" applyBorder="1" applyAlignment="1">
      <alignment horizontal="center" vertical="center"/>
    </xf>
    <xf numFmtId="1" fontId="19" fillId="0" borderId="9" xfId="0" applyNumberFormat="1" applyFont="1" applyBorder="1" applyAlignment="1">
      <alignment horizontal="center" vertical="center"/>
    </xf>
    <xf numFmtId="1" fontId="19" fillId="0" borderId="5" xfId="0" applyNumberFormat="1" applyFont="1" applyBorder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/>
    </xf>
    <xf numFmtId="1" fontId="19" fillId="0" borderId="0" xfId="0" applyNumberFormat="1" applyFont="1" applyAlignment="1">
      <alignment horizontal="center"/>
    </xf>
    <xf numFmtId="1" fontId="19" fillId="0" borderId="8" xfId="0" applyNumberFormat="1" applyFont="1" applyBorder="1" applyAlignment="1">
      <alignment horizontal="center" vertical="center" wrapText="1"/>
    </xf>
    <xf numFmtId="1" fontId="19" fillId="0" borderId="0" xfId="0" applyNumberFormat="1" applyFont="1" applyAlignment="1">
      <alignment horizontal="center" vertical="center" wrapText="1"/>
    </xf>
    <xf numFmtId="1" fontId="19" fillId="0" borderId="4" xfId="0" applyNumberFormat="1" applyFont="1" applyBorder="1" applyAlignment="1">
      <alignment horizontal="center" vertical="center"/>
    </xf>
    <xf numFmtId="1" fontId="19" fillId="0" borderId="7" xfId="0" applyNumberFormat="1" applyFont="1" applyBorder="1" applyAlignment="1">
      <alignment horizontal="center" vertical="center" wrapText="1"/>
    </xf>
    <xf numFmtId="1" fontId="19" fillId="0" borderId="2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/>
    </xf>
    <xf numFmtId="1" fontId="19" fillId="2" borderId="8" xfId="0" applyNumberFormat="1" applyFont="1" applyFill="1" applyBorder="1" applyAlignment="1">
      <alignment horizontal="center" vertical="center"/>
    </xf>
    <xf numFmtId="1" fontId="19" fillId="2" borderId="0" xfId="0" applyNumberFormat="1" applyFont="1" applyFill="1" applyAlignment="1">
      <alignment horizontal="center" vertical="center"/>
    </xf>
    <xf numFmtId="1" fontId="19" fillId="2" borderId="9" xfId="0" applyNumberFormat="1" applyFont="1" applyFill="1" applyBorder="1" applyAlignment="1">
      <alignment horizontal="center" vertical="center"/>
    </xf>
    <xf numFmtId="1" fontId="19" fillId="2" borderId="5" xfId="0" applyNumberFormat="1" applyFont="1" applyFill="1" applyBorder="1" applyAlignment="1">
      <alignment horizontal="center" vertical="center"/>
    </xf>
    <xf numFmtId="1" fontId="19" fillId="0" borderId="6" xfId="0" applyNumberFormat="1" applyFont="1" applyBorder="1" applyAlignment="1">
      <alignment horizontal="center" vertical="center"/>
    </xf>
    <xf numFmtId="1" fontId="19" fillId="0" borderId="19" xfId="0" applyNumberFormat="1" applyFont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12" fillId="0" borderId="5" xfId="0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 wrapText="1"/>
    </xf>
    <xf numFmtId="1" fontId="20" fillId="2" borderId="13" xfId="0" applyNumberFormat="1" applyFont="1" applyFill="1" applyBorder="1" applyAlignment="1">
      <alignment horizontal="center" vertical="center"/>
    </xf>
    <xf numFmtId="1" fontId="20" fillId="2" borderId="17" xfId="0" applyNumberFormat="1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1" fontId="14" fillId="0" borderId="11" xfId="0" applyNumberFormat="1" applyFont="1" applyBorder="1" applyAlignment="1">
      <alignment horizontal="center" vertical="center"/>
    </xf>
    <xf numFmtId="1" fontId="15" fillId="0" borderId="11" xfId="0" applyNumberFormat="1" applyFont="1" applyBorder="1" applyAlignment="1">
      <alignment horizontal="center" vertical="center"/>
    </xf>
    <xf numFmtId="1" fontId="12" fillId="2" borderId="11" xfId="0" applyNumberFormat="1" applyFont="1" applyFill="1" applyBorder="1" applyAlignment="1">
      <alignment horizontal="center" vertical="center"/>
    </xf>
    <xf numFmtId="1" fontId="16" fillId="2" borderId="11" xfId="0" applyNumberFormat="1" applyFont="1" applyFill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" fontId="13" fillId="0" borderId="11" xfId="0" applyNumberFormat="1" applyFont="1" applyBorder="1" applyAlignment="1">
      <alignment horizontal="center" vertical="center"/>
    </xf>
    <xf numFmtId="1" fontId="12" fillId="0" borderId="11" xfId="0" applyNumberFormat="1" applyFont="1" applyBorder="1" applyAlignment="1">
      <alignment horizontal="center" vertical="center"/>
    </xf>
    <xf numFmtId="1" fontId="16" fillId="2" borderId="12" xfId="0" applyNumberFormat="1" applyFont="1" applyFill="1" applyBorder="1" applyAlignment="1">
      <alignment horizontal="center" vertical="center"/>
    </xf>
    <xf numFmtId="1" fontId="4" fillId="0" borderId="7" xfId="1" applyNumberFormat="1" applyFont="1" applyBorder="1" applyAlignment="1">
      <alignment horizontal="center"/>
    </xf>
    <xf numFmtId="1" fontId="13" fillId="2" borderId="10" xfId="0" applyNumberFormat="1" applyFont="1" applyFill="1" applyBorder="1" applyAlignment="1">
      <alignment horizontal="center" vertical="center"/>
    </xf>
    <xf numFmtId="1" fontId="11" fillId="0" borderId="10" xfId="1" applyNumberFormat="1" applyFont="1" applyBorder="1" applyAlignment="1">
      <alignment horizontal="center"/>
    </xf>
    <xf numFmtId="1" fontId="21" fillId="2" borderId="10" xfId="0" applyNumberFormat="1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1" fontId="20" fillId="2" borderId="16" xfId="0" applyNumberFormat="1" applyFont="1" applyFill="1" applyBorder="1" applyAlignment="1">
      <alignment horizontal="center" vertical="center"/>
    </xf>
    <xf numFmtId="1" fontId="20" fillId="2" borderId="18" xfId="0" applyNumberFormat="1" applyFont="1" applyFill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0" fontId="19" fillId="0" borderId="0" xfId="0" applyFont="1"/>
    <xf numFmtId="165" fontId="19" fillId="0" borderId="0" xfId="0" applyNumberFormat="1" applyFont="1" applyAlignment="1">
      <alignment horizontal="center" vertical="center"/>
    </xf>
    <xf numFmtId="165" fontId="23" fillId="0" borderId="1" xfId="2" applyNumberFormat="1" applyFont="1" applyBorder="1" applyAlignment="1">
      <alignment horizontal="center" vertical="center" wrapText="1"/>
    </xf>
    <xf numFmtId="165" fontId="22" fillId="0" borderId="1" xfId="2" applyNumberFormat="1" applyFont="1" applyBorder="1" applyAlignment="1">
      <alignment horizontal="center" vertical="center" wrapText="1"/>
    </xf>
    <xf numFmtId="165" fontId="22" fillId="0" borderId="0" xfId="2" applyNumberFormat="1" applyFont="1" applyAlignment="1">
      <alignment horizontal="center" vertical="center" wrapText="1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R108"/>
  <sheetViews>
    <sheetView tabSelected="1" zoomScaleNormal="100" workbookViewId="0">
      <selection activeCell="AM4" sqref="AM4:AQ19"/>
    </sheetView>
  </sheetViews>
  <sheetFormatPr defaultRowHeight="12.75" x14ac:dyDescent="0.2"/>
  <cols>
    <col min="1" max="1" width="5.5703125" style="22" customWidth="1"/>
    <col min="2" max="2" width="7" style="22" customWidth="1"/>
    <col min="3" max="3" width="5.5703125" style="28" customWidth="1"/>
    <col min="4" max="4" width="5.5703125" style="22" customWidth="1"/>
    <col min="5" max="5" width="5.5703125" style="28" customWidth="1"/>
    <col min="6" max="7" width="5.5703125" style="22" customWidth="1"/>
    <col min="8" max="8" width="6.85546875" style="22" customWidth="1"/>
    <col min="9" max="9" width="5.5703125" style="28" customWidth="1"/>
    <col min="10" max="10" width="5.5703125" style="22" customWidth="1"/>
    <col min="11" max="11" width="5.5703125" style="28" customWidth="1"/>
    <col min="12" max="13" width="5.5703125" style="22" customWidth="1"/>
    <col min="14" max="14" width="7" style="22" customWidth="1"/>
    <col min="15" max="15" width="5.5703125" style="28" customWidth="1"/>
    <col min="16" max="16" width="5.5703125" style="22" customWidth="1"/>
    <col min="17" max="17" width="5.5703125" style="28" customWidth="1"/>
    <col min="18" max="19" width="5.5703125" style="22" customWidth="1"/>
    <col min="20" max="20" width="10" style="22" customWidth="1"/>
    <col min="21" max="21" width="5.5703125" style="28" customWidth="1"/>
    <col min="22" max="22" width="5.5703125" style="22" customWidth="1"/>
    <col min="23" max="23" width="5.5703125" style="28" customWidth="1"/>
    <col min="24" max="25" width="5.5703125" style="22" customWidth="1"/>
    <col min="26" max="26" width="9.140625" style="22" customWidth="1"/>
    <col min="27" max="28" width="5.5703125" style="22" customWidth="1"/>
    <col min="29" max="29" width="6" style="22" customWidth="1"/>
    <col min="30" max="31" width="5.5703125" style="22" customWidth="1"/>
    <col min="32" max="32" width="6.85546875" style="22" customWidth="1"/>
    <col min="33" max="33" width="6.7109375" style="22" customWidth="1"/>
    <col min="34" max="34" width="6.5703125" style="22" customWidth="1"/>
    <col min="35" max="36" width="7.42578125" style="22" customWidth="1"/>
    <col min="37" max="16384" width="9.140625" style="22"/>
  </cols>
  <sheetData>
    <row r="1" spans="1:44" ht="13.5" thickBot="1" x14ac:dyDescent="0.25">
      <c r="A1" s="15"/>
      <c r="B1" s="14"/>
      <c r="C1" s="11"/>
      <c r="D1" s="12"/>
      <c r="E1" s="11"/>
      <c r="F1" s="12"/>
      <c r="G1" s="16"/>
      <c r="H1" s="14"/>
      <c r="I1" s="11"/>
      <c r="J1" s="12"/>
      <c r="K1" s="11"/>
      <c r="L1" s="12"/>
      <c r="M1" s="16"/>
      <c r="N1" s="14"/>
      <c r="O1" s="11"/>
      <c r="P1" s="12"/>
      <c r="Q1" s="11"/>
      <c r="R1" s="12"/>
      <c r="S1" s="16"/>
      <c r="T1" s="14"/>
      <c r="U1" s="11"/>
      <c r="V1" s="12"/>
      <c r="W1" s="11"/>
      <c r="X1" s="12"/>
      <c r="Y1" s="16"/>
      <c r="Z1" s="16"/>
      <c r="AA1" s="16"/>
      <c r="AB1" s="16"/>
      <c r="AC1" s="16"/>
      <c r="AD1" s="16"/>
      <c r="AE1" s="16"/>
      <c r="AF1" s="14"/>
      <c r="AG1" s="11"/>
      <c r="AH1" s="12"/>
      <c r="AI1" s="11"/>
      <c r="AJ1" s="12"/>
      <c r="AK1" s="16"/>
      <c r="AL1" s="14"/>
      <c r="AM1" s="14"/>
      <c r="AN1" s="14"/>
      <c r="AO1" s="14"/>
      <c r="AP1" s="14"/>
      <c r="AQ1" s="14"/>
    </row>
    <row r="2" spans="1:44" ht="13.5" thickBot="1" x14ac:dyDescent="0.25">
      <c r="A2" s="7"/>
      <c r="B2" s="29" t="s">
        <v>0</v>
      </c>
      <c r="C2" s="30"/>
      <c r="D2" s="31"/>
      <c r="E2" s="30"/>
      <c r="F2" s="31"/>
      <c r="G2" s="32"/>
      <c r="H2" s="29" t="s">
        <v>1</v>
      </c>
      <c r="I2" s="30"/>
      <c r="J2" s="31"/>
      <c r="K2" s="30"/>
      <c r="L2" s="31"/>
      <c r="M2" s="32"/>
      <c r="N2" s="29" t="s">
        <v>2</v>
      </c>
      <c r="O2" s="30"/>
      <c r="P2" s="31"/>
      <c r="Q2" s="30"/>
      <c r="R2" s="31"/>
      <c r="S2" s="32"/>
      <c r="T2" s="29" t="s">
        <v>3</v>
      </c>
      <c r="U2" s="30"/>
      <c r="V2" s="31"/>
      <c r="W2" s="30"/>
      <c r="X2" s="31"/>
      <c r="Y2" s="33"/>
      <c r="Z2" s="72" t="s">
        <v>13</v>
      </c>
      <c r="AA2" s="33"/>
      <c r="AB2" s="33"/>
      <c r="AC2" s="33"/>
      <c r="AD2" s="33"/>
      <c r="AE2" s="33"/>
      <c r="AF2" s="74" t="s">
        <v>14</v>
      </c>
      <c r="AG2" s="5"/>
      <c r="AH2" s="5"/>
      <c r="AI2" s="5"/>
      <c r="AJ2" s="5"/>
      <c r="AK2" s="6"/>
      <c r="AL2" s="14"/>
      <c r="AM2" s="23" t="s">
        <v>0</v>
      </c>
      <c r="AN2" s="23" t="s">
        <v>1</v>
      </c>
      <c r="AO2" s="23" t="s">
        <v>2</v>
      </c>
      <c r="AP2" s="23" t="s">
        <v>3</v>
      </c>
      <c r="AQ2" s="23" t="s">
        <v>13</v>
      </c>
    </row>
    <row r="3" spans="1:44" ht="14.25" thickBot="1" x14ac:dyDescent="0.25">
      <c r="A3" s="8"/>
      <c r="B3" s="79" t="s">
        <v>5</v>
      </c>
      <c r="C3" s="9" t="s">
        <v>6</v>
      </c>
      <c r="D3" s="10" t="s">
        <v>7</v>
      </c>
      <c r="E3" s="9" t="s">
        <v>8</v>
      </c>
      <c r="F3" s="10" t="s">
        <v>10</v>
      </c>
      <c r="G3" s="17" t="s">
        <v>11</v>
      </c>
      <c r="H3" s="67" t="s">
        <v>5</v>
      </c>
      <c r="I3" s="63" t="s">
        <v>6</v>
      </c>
      <c r="J3" s="64" t="s">
        <v>7</v>
      </c>
      <c r="K3" s="63" t="s">
        <v>8</v>
      </c>
      <c r="L3" s="64" t="s">
        <v>10</v>
      </c>
      <c r="M3" s="68" t="s">
        <v>12</v>
      </c>
      <c r="N3" s="67" t="s">
        <v>5</v>
      </c>
      <c r="O3" s="63" t="s">
        <v>6</v>
      </c>
      <c r="P3" s="64" t="s">
        <v>7</v>
      </c>
      <c r="Q3" s="63" t="s">
        <v>8</v>
      </c>
      <c r="R3" s="64" t="s">
        <v>4</v>
      </c>
      <c r="S3" s="68" t="s">
        <v>11</v>
      </c>
      <c r="T3" s="69" t="s">
        <v>5</v>
      </c>
      <c r="U3" s="63" t="s">
        <v>6</v>
      </c>
      <c r="V3" s="64" t="s">
        <v>7</v>
      </c>
      <c r="W3" s="63" t="s">
        <v>9</v>
      </c>
      <c r="X3" s="64" t="s">
        <v>10</v>
      </c>
      <c r="Y3" s="70" t="s">
        <v>11</v>
      </c>
      <c r="Z3" s="73" t="s">
        <v>5</v>
      </c>
      <c r="AA3" s="65" t="s">
        <v>6</v>
      </c>
      <c r="AB3" s="65" t="s">
        <v>7</v>
      </c>
      <c r="AC3" s="65" t="s">
        <v>8</v>
      </c>
      <c r="AD3" s="65" t="s">
        <v>4</v>
      </c>
      <c r="AE3" s="65" t="s">
        <v>11</v>
      </c>
      <c r="AF3" s="75" t="s">
        <v>5</v>
      </c>
      <c r="AG3" s="66" t="s">
        <v>6</v>
      </c>
      <c r="AH3" s="66" t="s">
        <v>7</v>
      </c>
      <c r="AI3" s="66" t="s">
        <v>8</v>
      </c>
      <c r="AJ3" s="66" t="s">
        <v>4</v>
      </c>
      <c r="AK3" s="71" t="s">
        <v>11</v>
      </c>
      <c r="AL3" s="24"/>
      <c r="AM3" s="25"/>
      <c r="AN3" s="25"/>
      <c r="AO3" s="25"/>
      <c r="AP3" s="25"/>
      <c r="AQ3" s="25"/>
      <c r="AR3" s="23"/>
    </row>
    <row r="4" spans="1:44" ht="13.5" x14ac:dyDescent="0.2">
      <c r="A4" s="2">
        <v>1</v>
      </c>
      <c r="B4" s="44">
        <v>8693.4</v>
      </c>
      <c r="C4" s="45"/>
      <c r="D4" s="45"/>
      <c r="E4" s="35">
        <f>C4-B4</f>
        <v>-8693.4</v>
      </c>
      <c r="F4" s="35">
        <f>D4-B4</f>
        <v>-8693.4</v>
      </c>
      <c r="G4" s="46">
        <f>C4-D4</f>
        <v>0</v>
      </c>
      <c r="H4" s="42">
        <v>8595.4</v>
      </c>
      <c r="I4" s="42"/>
      <c r="J4" s="34"/>
      <c r="K4" s="34">
        <f>I4-H4</f>
        <v>-8595.4</v>
      </c>
      <c r="L4" s="34">
        <f>J4-H4</f>
        <v>-8595.4</v>
      </c>
      <c r="M4" s="43">
        <f>I4-J4</f>
        <v>0</v>
      </c>
      <c r="N4" s="41">
        <v>8618.5</v>
      </c>
      <c r="O4" s="42"/>
      <c r="P4" s="34"/>
      <c r="Q4" s="34">
        <f>O4-N4</f>
        <v>-8618.5</v>
      </c>
      <c r="R4" s="34">
        <f>P4-N4</f>
        <v>-8618.5</v>
      </c>
      <c r="S4" s="43">
        <f>O4-P4</f>
        <v>0</v>
      </c>
      <c r="T4" s="41">
        <v>8800.2999999999993</v>
      </c>
      <c r="U4" s="42"/>
      <c r="V4" s="34"/>
      <c r="W4" s="34">
        <f>U4-T4</f>
        <v>-8800.2999999999993</v>
      </c>
      <c r="X4" s="34">
        <f>V4-T4</f>
        <v>-8800.2999999999993</v>
      </c>
      <c r="Y4" s="34">
        <f>U4-V4</f>
        <v>0</v>
      </c>
      <c r="Z4" s="47">
        <v>8919.7000000000007</v>
      </c>
      <c r="AA4" s="48">
        <v>8919.7000000000007</v>
      </c>
      <c r="AB4" s="48"/>
      <c r="AC4" s="48">
        <f>AA4-Z4</f>
        <v>0</v>
      </c>
      <c r="AD4" s="48">
        <f>AB4-Z4</f>
        <v>-8919.7000000000007</v>
      </c>
      <c r="AE4" s="48">
        <f>AA4-AB4</f>
        <v>8919.7000000000007</v>
      </c>
      <c r="AF4" s="77">
        <v>9411.9500000000007</v>
      </c>
      <c r="AG4" s="61"/>
      <c r="AH4" s="61"/>
      <c r="AI4" s="61">
        <f>AG4-AF4</f>
        <v>-9411.9500000000007</v>
      </c>
      <c r="AJ4" s="61">
        <f>AH4-AF4</f>
        <v>-9411.9500000000007</v>
      </c>
      <c r="AK4" s="62">
        <f>AG4-AH4</f>
        <v>0</v>
      </c>
      <c r="AL4" s="1"/>
      <c r="AM4" s="81">
        <v>8710.2999999999993</v>
      </c>
      <c r="AN4" s="81">
        <v>8596.2000000000007</v>
      </c>
      <c r="AO4" s="81">
        <v>8617.7000000000007</v>
      </c>
      <c r="AP4" s="81">
        <v>8795</v>
      </c>
      <c r="AQ4" s="81">
        <v>8915.5</v>
      </c>
    </row>
    <row r="5" spans="1:44" ht="13.5" x14ac:dyDescent="0.2">
      <c r="A5" s="2">
        <v>2</v>
      </c>
      <c r="B5" s="41">
        <v>8611.7000000000007</v>
      </c>
      <c r="C5" s="42"/>
      <c r="D5" s="42"/>
      <c r="E5" s="34">
        <f t="shared" ref="E5:E21" si="0">C5-B5</f>
        <v>-8611.7000000000007</v>
      </c>
      <c r="F5" s="34">
        <f t="shared" ref="F5:F21" si="1">D5-B5</f>
        <v>-8611.7000000000007</v>
      </c>
      <c r="G5" s="43">
        <f t="shared" ref="G5:G21" si="2">C5-D5</f>
        <v>0</v>
      </c>
      <c r="H5" s="42">
        <v>8517.1</v>
      </c>
      <c r="I5" s="42"/>
      <c r="J5" s="34"/>
      <c r="K5" s="34">
        <f t="shared" ref="K5:K21" si="3">I5-H5</f>
        <v>-8517.1</v>
      </c>
      <c r="L5" s="34">
        <f t="shared" ref="L5:L21" si="4">J5-H5</f>
        <v>-8517.1</v>
      </c>
      <c r="M5" s="43">
        <f t="shared" ref="M5:M21" si="5">I5-J5</f>
        <v>0</v>
      </c>
      <c r="N5" s="41">
        <v>8540.6</v>
      </c>
      <c r="O5" s="42"/>
      <c r="P5" s="34"/>
      <c r="Q5" s="34">
        <f t="shared" ref="Q5:Q21" si="6">O5-N5</f>
        <v>-8540.6</v>
      </c>
      <c r="R5" s="34">
        <f t="shared" ref="R5:R21" si="7">P5-N5</f>
        <v>-8540.6</v>
      </c>
      <c r="S5" s="43">
        <f t="shared" ref="S5:S21" si="8">O5-P5</f>
        <v>0</v>
      </c>
      <c r="T5" s="41">
        <v>8711.9</v>
      </c>
      <c r="U5" s="42"/>
      <c r="V5" s="34"/>
      <c r="W5" s="34">
        <f t="shared" ref="W5:W17" si="9">U5-T5</f>
        <v>-8711.9</v>
      </c>
      <c r="X5" s="34">
        <f t="shared" ref="X5:X17" si="10">V5-T5</f>
        <v>-8711.9</v>
      </c>
      <c r="Y5" s="34">
        <f t="shared" ref="Y5:Y17" si="11">U5-V5</f>
        <v>0</v>
      </c>
      <c r="Z5" s="47">
        <v>8792.2999999999993</v>
      </c>
      <c r="AA5" s="48">
        <v>8792.2999999999993</v>
      </c>
      <c r="AB5" s="48"/>
      <c r="AC5" s="48">
        <f t="shared" ref="AC5:AC11" si="12">AA5-Z5</f>
        <v>0</v>
      </c>
      <c r="AD5" s="48">
        <f t="shared" ref="AD5:AD11" si="13">AB5-Z5</f>
        <v>-8792.2999999999993</v>
      </c>
      <c r="AE5" s="48">
        <f t="shared" ref="AE5:AE11" si="14">AA5-AB5</f>
        <v>8792.2999999999993</v>
      </c>
      <c r="AF5" s="78">
        <v>9109.0499999999993</v>
      </c>
      <c r="AG5" s="60"/>
      <c r="AH5" s="60"/>
      <c r="AI5" s="60">
        <f t="shared" ref="AI5:AI10" si="15">AG5-AF5</f>
        <v>-9109.0499999999993</v>
      </c>
      <c r="AJ5" s="60">
        <f t="shared" ref="AJ5:AJ10" si="16">AH5-AF5</f>
        <v>-9109.0499999999993</v>
      </c>
      <c r="AK5" s="53">
        <f t="shared" ref="AK5:AK10" si="17">AG5-AH5</f>
        <v>0</v>
      </c>
      <c r="AL5" s="1"/>
      <c r="AM5" s="81">
        <v>8630.9500000000007</v>
      </c>
      <c r="AN5" s="81">
        <v>8516.1</v>
      </c>
      <c r="AO5" s="81">
        <v>8541.75</v>
      </c>
      <c r="AP5" s="81">
        <v>8709.35</v>
      </c>
      <c r="AQ5" s="81">
        <v>8787.6</v>
      </c>
    </row>
    <row r="6" spans="1:44" ht="13.5" x14ac:dyDescent="0.2">
      <c r="A6" s="2">
        <v>3</v>
      </c>
      <c r="B6" s="41">
        <v>8592.2000000000007</v>
      </c>
      <c r="C6" s="42"/>
      <c r="D6" s="42"/>
      <c r="E6" s="34">
        <f t="shared" si="0"/>
        <v>-8592.2000000000007</v>
      </c>
      <c r="F6" s="34">
        <f t="shared" si="1"/>
        <v>-8592.2000000000007</v>
      </c>
      <c r="G6" s="43">
        <f t="shared" si="2"/>
        <v>0</v>
      </c>
      <c r="H6" s="42">
        <v>8495.7999999999993</v>
      </c>
      <c r="I6" s="42"/>
      <c r="J6" s="34"/>
      <c r="K6" s="34">
        <f t="shared" si="3"/>
        <v>-8495.7999999999993</v>
      </c>
      <c r="L6" s="34">
        <f t="shared" si="4"/>
        <v>-8495.7999999999993</v>
      </c>
      <c r="M6" s="43">
        <f t="shared" si="5"/>
        <v>0</v>
      </c>
      <c r="N6" s="41">
        <v>8517.6</v>
      </c>
      <c r="O6" s="42"/>
      <c r="P6" s="34"/>
      <c r="Q6" s="34">
        <f t="shared" si="6"/>
        <v>-8517.6</v>
      </c>
      <c r="R6" s="34">
        <f t="shared" si="7"/>
        <v>-8517.6</v>
      </c>
      <c r="S6" s="43">
        <f t="shared" si="8"/>
        <v>0</v>
      </c>
      <c r="T6" s="41">
        <v>8672.2000000000007</v>
      </c>
      <c r="U6" s="42"/>
      <c r="V6" s="34"/>
      <c r="W6" s="34">
        <f t="shared" si="9"/>
        <v>-8672.2000000000007</v>
      </c>
      <c r="X6" s="34">
        <f t="shared" si="10"/>
        <v>-8672.2000000000007</v>
      </c>
      <c r="Y6" s="34">
        <f t="shared" si="11"/>
        <v>0</v>
      </c>
      <c r="Z6" s="47">
        <v>8755.4</v>
      </c>
      <c r="AA6" s="48">
        <v>8755.4</v>
      </c>
      <c r="AB6" s="48"/>
      <c r="AC6" s="48">
        <f t="shared" si="12"/>
        <v>0</v>
      </c>
      <c r="AD6" s="48">
        <f t="shared" si="13"/>
        <v>-8755.4</v>
      </c>
      <c r="AE6" s="48">
        <f t="shared" si="14"/>
        <v>8755.4</v>
      </c>
      <c r="AF6" s="78">
        <v>8935.9</v>
      </c>
      <c r="AG6" s="60"/>
      <c r="AH6" s="60"/>
      <c r="AI6" s="60">
        <f t="shared" si="15"/>
        <v>-8935.9</v>
      </c>
      <c r="AJ6" s="60">
        <f t="shared" si="16"/>
        <v>-8935.9</v>
      </c>
      <c r="AK6" s="53">
        <f t="shared" si="17"/>
        <v>0</v>
      </c>
      <c r="AL6" s="1"/>
      <c r="AM6" s="81">
        <v>8609.2999999999993</v>
      </c>
      <c r="AN6" s="81">
        <v>8492.0499999999993</v>
      </c>
      <c r="AO6" s="81">
        <v>8518.5499999999993</v>
      </c>
      <c r="AP6" s="81">
        <v>8664.9500000000007</v>
      </c>
      <c r="AQ6" s="81">
        <v>8751.9</v>
      </c>
    </row>
    <row r="7" spans="1:44" ht="13.5" x14ac:dyDescent="0.2">
      <c r="A7" s="2">
        <v>4</v>
      </c>
      <c r="B7" s="41">
        <v>8573.5</v>
      </c>
      <c r="C7" s="42"/>
      <c r="D7" s="42"/>
      <c r="E7" s="34">
        <f t="shared" si="0"/>
        <v>-8573.5</v>
      </c>
      <c r="F7" s="34">
        <f t="shared" si="1"/>
        <v>-8573.5</v>
      </c>
      <c r="G7" s="43">
        <f t="shared" si="2"/>
        <v>0</v>
      </c>
      <c r="H7" s="42">
        <v>8476.2000000000007</v>
      </c>
      <c r="I7" s="42"/>
      <c r="J7" s="34"/>
      <c r="K7" s="34">
        <f t="shared" si="3"/>
        <v>-8476.2000000000007</v>
      </c>
      <c r="L7" s="34">
        <f t="shared" si="4"/>
        <v>-8476.2000000000007</v>
      </c>
      <c r="M7" s="43">
        <f t="shared" si="5"/>
        <v>0</v>
      </c>
      <c r="N7" s="41">
        <v>8504.7999999999993</v>
      </c>
      <c r="O7" s="42"/>
      <c r="P7" s="34"/>
      <c r="Q7" s="34">
        <f t="shared" si="6"/>
        <v>-8504.7999999999993</v>
      </c>
      <c r="R7" s="34">
        <f t="shared" si="7"/>
        <v>-8504.7999999999993</v>
      </c>
      <c r="S7" s="43">
        <f t="shared" si="8"/>
        <v>0</v>
      </c>
      <c r="T7" s="41">
        <v>8631.7000000000007</v>
      </c>
      <c r="U7" s="42"/>
      <c r="V7" s="34"/>
      <c r="W7" s="34">
        <f t="shared" si="9"/>
        <v>-8631.7000000000007</v>
      </c>
      <c r="X7" s="34">
        <f t="shared" si="10"/>
        <v>-8631.7000000000007</v>
      </c>
      <c r="Y7" s="34">
        <f t="shared" si="11"/>
        <v>0</v>
      </c>
      <c r="Z7" s="47">
        <v>8774.7000000000007</v>
      </c>
      <c r="AA7" s="48">
        <v>8774.7000000000007</v>
      </c>
      <c r="AB7" s="48"/>
      <c r="AC7" s="48">
        <f t="shared" si="12"/>
        <v>0</v>
      </c>
      <c r="AD7" s="48">
        <f t="shared" si="13"/>
        <v>-8774.7000000000007</v>
      </c>
      <c r="AE7" s="48">
        <f t="shared" si="14"/>
        <v>8774.7000000000007</v>
      </c>
      <c r="AF7" s="78">
        <v>8971.0499999999993</v>
      </c>
      <c r="AG7" s="60"/>
      <c r="AH7" s="60"/>
      <c r="AI7" s="60">
        <f t="shared" si="15"/>
        <v>-8971.0499999999993</v>
      </c>
      <c r="AJ7" s="60">
        <f t="shared" si="16"/>
        <v>-8971.0499999999993</v>
      </c>
      <c r="AK7" s="53">
        <f t="shared" si="17"/>
        <v>0</v>
      </c>
      <c r="AL7" s="1"/>
      <c r="AM7" s="81">
        <v>8590.2999999999993</v>
      </c>
      <c r="AN7" s="81">
        <v>8475.6</v>
      </c>
      <c r="AO7" s="81">
        <v>8507.2999999999993</v>
      </c>
      <c r="AP7" s="81">
        <v>8628.15</v>
      </c>
      <c r="AQ7" s="81">
        <v>8769.25</v>
      </c>
    </row>
    <row r="8" spans="1:44" ht="13.5" x14ac:dyDescent="0.2">
      <c r="A8" s="2">
        <v>5</v>
      </c>
      <c r="B8" s="41">
        <v>8574.6</v>
      </c>
      <c r="C8" s="42"/>
      <c r="D8" s="42"/>
      <c r="E8" s="34">
        <f t="shared" si="0"/>
        <v>-8574.6</v>
      </c>
      <c r="F8" s="34">
        <f t="shared" si="1"/>
        <v>-8574.6</v>
      </c>
      <c r="G8" s="43">
        <f t="shared" si="2"/>
        <v>0</v>
      </c>
      <c r="H8" s="42">
        <v>8476</v>
      </c>
      <c r="I8" s="42"/>
      <c r="J8" s="34"/>
      <c r="K8" s="34">
        <f t="shared" si="3"/>
        <v>-8476</v>
      </c>
      <c r="L8" s="34">
        <f t="shared" si="4"/>
        <v>-8476</v>
      </c>
      <c r="M8" s="43">
        <f t="shared" si="5"/>
        <v>0</v>
      </c>
      <c r="N8" s="41">
        <v>8509.1</v>
      </c>
      <c r="O8" s="42"/>
      <c r="P8" s="34"/>
      <c r="Q8" s="34">
        <f t="shared" si="6"/>
        <v>-8509.1</v>
      </c>
      <c r="R8" s="34">
        <f t="shared" si="7"/>
        <v>-8509.1</v>
      </c>
      <c r="S8" s="43">
        <f t="shared" si="8"/>
        <v>0</v>
      </c>
      <c r="T8" s="41">
        <v>8633.7000000000007</v>
      </c>
      <c r="U8" s="42"/>
      <c r="V8" s="34"/>
      <c r="W8" s="34">
        <f t="shared" si="9"/>
        <v>-8633.7000000000007</v>
      </c>
      <c r="X8" s="34">
        <f t="shared" si="10"/>
        <v>-8633.7000000000007</v>
      </c>
      <c r="Y8" s="34">
        <f t="shared" si="11"/>
        <v>0</v>
      </c>
      <c r="Z8" s="47">
        <v>8759.1</v>
      </c>
      <c r="AA8" s="48">
        <v>8759.1</v>
      </c>
      <c r="AB8" s="48"/>
      <c r="AC8" s="48">
        <f t="shared" si="12"/>
        <v>0</v>
      </c>
      <c r="AD8" s="48">
        <f t="shared" si="13"/>
        <v>-8759.1</v>
      </c>
      <c r="AE8" s="48">
        <f t="shared" si="14"/>
        <v>8759.1</v>
      </c>
      <c r="AF8" s="78">
        <v>8773.5499999999993</v>
      </c>
      <c r="AG8" s="60"/>
      <c r="AH8" s="60"/>
      <c r="AI8" s="60">
        <f t="shared" si="15"/>
        <v>-8773.5499999999993</v>
      </c>
      <c r="AJ8" s="60">
        <f t="shared" si="16"/>
        <v>-8773.5499999999993</v>
      </c>
      <c r="AK8" s="53">
        <f t="shared" si="17"/>
        <v>0</v>
      </c>
      <c r="AL8" s="1"/>
      <c r="AM8" s="81">
        <v>8591.5</v>
      </c>
      <c r="AN8" s="81">
        <v>8475.1</v>
      </c>
      <c r="AO8" s="81">
        <v>8511.85</v>
      </c>
      <c r="AP8" s="81">
        <v>8626.9500000000007</v>
      </c>
      <c r="AQ8" s="81">
        <v>8756.9500000000007</v>
      </c>
    </row>
    <row r="9" spans="1:44" ht="13.5" x14ac:dyDescent="0.2">
      <c r="A9" s="2">
        <v>6</v>
      </c>
      <c r="B9" s="41">
        <v>8620.9</v>
      </c>
      <c r="C9" s="42"/>
      <c r="D9" s="42"/>
      <c r="E9" s="34">
        <f t="shared" si="0"/>
        <v>-8620.9</v>
      </c>
      <c r="F9" s="34">
        <f t="shared" si="1"/>
        <v>-8620.9</v>
      </c>
      <c r="G9" s="43">
        <f t="shared" si="2"/>
        <v>0</v>
      </c>
      <c r="H9" s="42">
        <v>8527</v>
      </c>
      <c r="I9" s="42"/>
      <c r="J9" s="34"/>
      <c r="K9" s="34">
        <f t="shared" si="3"/>
        <v>-8527</v>
      </c>
      <c r="L9" s="34">
        <f t="shared" si="4"/>
        <v>-8527</v>
      </c>
      <c r="M9" s="43">
        <f t="shared" si="5"/>
        <v>0</v>
      </c>
      <c r="N9" s="41">
        <v>8562.9</v>
      </c>
      <c r="O9" s="42"/>
      <c r="P9" s="34"/>
      <c r="Q9" s="34">
        <f t="shared" si="6"/>
        <v>-8562.9</v>
      </c>
      <c r="R9" s="34">
        <f t="shared" si="7"/>
        <v>-8562.9</v>
      </c>
      <c r="S9" s="43">
        <f t="shared" si="8"/>
        <v>0</v>
      </c>
      <c r="T9" s="41">
        <v>8663.5</v>
      </c>
      <c r="U9" s="42"/>
      <c r="V9" s="34"/>
      <c r="W9" s="34">
        <f t="shared" si="9"/>
        <v>-8663.5</v>
      </c>
      <c r="X9" s="34">
        <f t="shared" si="10"/>
        <v>-8663.5</v>
      </c>
      <c r="Y9" s="34">
        <f t="shared" si="11"/>
        <v>0</v>
      </c>
      <c r="Z9" s="47">
        <v>8720.2000000000007</v>
      </c>
      <c r="AA9" s="48">
        <v>8720.2000000000007</v>
      </c>
      <c r="AB9" s="48"/>
      <c r="AC9" s="48">
        <f t="shared" si="12"/>
        <v>0</v>
      </c>
      <c r="AD9" s="48">
        <f t="shared" si="13"/>
        <v>-8720.2000000000007</v>
      </c>
      <c r="AE9" s="48">
        <f t="shared" si="14"/>
        <v>8720.2000000000007</v>
      </c>
      <c r="AF9" s="78">
        <v>8580.7999999999993</v>
      </c>
      <c r="AG9" s="60"/>
      <c r="AH9" s="60"/>
      <c r="AI9" s="60">
        <f t="shared" si="15"/>
        <v>-8580.7999999999993</v>
      </c>
      <c r="AJ9" s="60">
        <f t="shared" si="16"/>
        <v>-8580.7999999999993</v>
      </c>
      <c r="AK9" s="53">
        <f t="shared" si="17"/>
        <v>0</v>
      </c>
      <c r="AL9" s="1"/>
      <c r="AM9" s="81">
        <v>8637.65</v>
      </c>
      <c r="AN9" s="81">
        <v>8524.65</v>
      </c>
      <c r="AO9" s="81">
        <v>8565.2999999999993</v>
      </c>
      <c r="AP9" s="81">
        <v>8658.9</v>
      </c>
      <c r="AQ9" s="81">
        <v>8721.2000000000007</v>
      </c>
    </row>
    <row r="10" spans="1:44" ht="13.5" x14ac:dyDescent="0.2">
      <c r="A10" s="2">
        <v>7</v>
      </c>
      <c r="B10" s="41">
        <v>8542.7000000000007</v>
      </c>
      <c r="C10" s="42"/>
      <c r="D10" s="42"/>
      <c r="E10" s="34">
        <f t="shared" si="0"/>
        <v>-8542.7000000000007</v>
      </c>
      <c r="F10" s="34">
        <f t="shared" si="1"/>
        <v>-8542.7000000000007</v>
      </c>
      <c r="G10" s="43">
        <f t="shared" si="2"/>
        <v>0</v>
      </c>
      <c r="H10" s="42">
        <v>8461.7999999999993</v>
      </c>
      <c r="I10" s="42"/>
      <c r="J10" s="34"/>
      <c r="K10" s="34">
        <f t="shared" si="3"/>
        <v>-8461.7999999999993</v>
      </c>
      <c r="L10" s="34">
        <f t="shared" si="4"/>
        <v>-8461.7999999999993</v>
      </c>
      <c r="M10" s="43">
        <f t="shared" si="5"/>
        <v>0</v>
      </c>
      <c r="N10" s="41">
        <v>8507.6</v>
      </c>
      <c r="O10" s="42"/>
      <c r="P10" s="34"/>
      <c r="Q10" s="34">
        <f t="shared" si="6"/>
        <v>-8507.6</v>
      </c>
      <c r="R10" s="34">
        <f t="shared" si="7"/>
        <v>-8507.6</v>
      </c>
      <c r="S10" s="43">
        <f t="shared" si="8"/>
        <v>0</v>
      </c>
      <c r="T10" s="41">
        <v>8636.7999999999993</v>
      </c>
      <c r="U10" s="42"/>
      <c r="V10" s="34"/>
      <c r="W10" s="34">
        <f t="shared" si="9"/>
        <v>-8636.7999999999993</v>
      </c>
      <c r="X10" s="34">
        <f t="shared" si="10"/>
        <v>-8636.7999999999993</v>
      </c>
      <c r="Y10" s="34">
        <f t="shared" si="11"/>
        <v>0</v>
      </c>
      <c r="Z10" s="47">
        <v>8674.6</v>
      </c>
      <c r="AA10" s="48">
        <v>8674.6</v>
      </c>
      <c r="AB10" s="48"/>
      <c r="AC10" s="48">
        <f t="shared" si="12"/>
        <v>0</v>
      </c>
      <c r="AD10" s="48">
        <f t="shared" si="13"/>
        <v>-8674.6</v>
      </c>
      <c r="AE10" s="48">
        <f t="shared" si="14"/>
        <v>8674.6</v>
      </c>
      <c r="AF10" s="78">
        <v>8520.9500000000007</v>
      </c>
      <c r="AG10" s="60"/>
      <c r="AH10" s="60"/>
      <c r="AI10" s="60">
        <f t="shared" si="15"/>
        <v>-8520.9500000000007</v>
      </c>
      <c r="AJ10" s="60">
        <f t="shared" si="16"/>
        <v>-8520.9500000000007</v>
      </c>
      <c r="AK10" s="53">
        <f t="shared" si="17"/>
        <v>0</v>
      </c>
      <c r="AL10" s="1"/>
      <c r="AM10" s="81">
        <v>8560.9</v>
      </c>
      <c r="AN10" s="81">
        <v>8459.7999999999993</v>
      </c>
      <c r="AO10" s="81">
        <v>8508.25</v>
      </c>
      <c r="AP10" s="81">
        <v>8634.65</v>
      </c>
      <c r="AQ10" s="81">
        <v>8666.9</v>
      </c>
    </row>
    <row r="11" spans="1:44" ht="14.25" thickBot="1" x14ac:dyDescent="0.25">
      <c r="A11" s="2">
        <v>8</v>
      </c>
      <c r="B11" s="41">
        <v>8499.2000000000007</v>
      </c>
      <c r="C11" s="42"/>
      <c r="D11" s="42"/>
      <c r="E11" s="34">
        <f t="shared" si="0"/>
        <v>-8499.2000000000007</v>
      </c>
      <c r="F11" s="34">
        <f t="shared" si="1"/>
        <v>-8499.2000000000007</v>
      </c>
      <c r="G11" s="43">
        <f t="shared" si="2"/>
        <v>0</v>
      </c>
      <c r="H11" s="42">
        <v>8427</v>
      </c>
      <c r="I11" s="42"/>
      <c r="J11" s="34"/>
      <c r="K11" s="34">
        <f t="shared" si="3"/>
        <v>-8427</v>
      </c>
      <c r="L11" s="34">
        <f t="shared" si="4"/>
        <v>-8427</v>
      </c>
      <c r="M11" s="43">
        <f t="shared" si="5"/>
        <v>0</v>
      </c>
      <c r="N11" s="41">
        <v>8472.5</v>
      </c>
      <c r="O11" s="42"/>
      <c r="P11" s="34"/>
      <c r="Q11" s="34">
        <f t="shared" si="6"/>
        <v>-8472.5</v>
      </c>
      <c r="R11" s="34">
        <f t="shared" si="7"/>
        <v>-8472.5</v>
      </c>
      <c r="S11" s="43">
        <f t="shared" si="8"/>
        <v>0</v>
      </c>
      <c r="T11" s="41">
        <v>8591.4</v>
      </c>
      <c r="U11" s="42"/>
      <c r="V11" s="34"/>
      <c r="W11" s="34">
        <f t="shared" si="9"/>
        <v>-8591.4</v>
      </c>
      <c r="X11" s="34">
        <f t="shared" si="10"/>
        <v>-8591.4</v>
      </c>
      <c r="Y11" s="34">
        <f t="shared" si="11"/>
        <v>0</v>
      </c>
      <c r="Z11" s="49">
        <v>8670.5</v>
      </c>
      <c r="AA11" s="50">
        <v>8670.5</v>
      </c>
      <c r="AB11" s="50"/>
      <c r="AC11" s="50">
        <f t="shared" si="12"/>
        <v>0</v>
      </c>
      <c r="AD11" s="50">
        <f t="shared" si="13"/>
        <v>-8670.5</v>
      </c>
      <c r="AE11" s="50">
        <f t="shared" si="14"/>
        <v>8670.5</v>
      </c>
      <c r="AF11" s="78">
        <v>8583.15</v>
      </c>
      <c r="AG11" s="60"/>
      <c r="AH11" s="60"/>
      <c r="AI11" s="60">
        <f t="shared" ref="AI11:AI16" si="18">AG11-AF11</f>
        <v>-8583.15</v>
      </c>
      <c r="AJ11" s="60">
        <f t="shared" ref="AJ11:AJ16" si="19">AH11-AF11</f>
        <v>-8583.15</v>
      </c>
      <c r="AK11" s="53">
        <f t="shared" ref="AK11:AK16" si="20">AG11-AH11</f>
        <v>0</v>
      </c>
      <c r="AL11" s="1"/>
      <c r="AM11" s="81">
        <v>8517</v>
      </c>
      <c r="AN11" s="81">
        <v>8424.35</v>
      </c>
      <c r="AO11" s="81">
        <v>8470.25</v>
      </c>
      <c r="AP11" s="81">
        <v>8591.35</v>
      </c>
      <c r="AQ11" s="81">
        <v>8666.2999999999993</v>
      </c>
    </row>
    <row r="12" spans="1:44" ht="13.5" x14ac:dyDescent="0.2">
      <c r="A12" s="2">
        <v>9</v>
      </c>
      <c r="B12" s="41">
        <v>8453.7000000000007</v>
      </c>
      <c r="C12" s="42"/>
      <c r="D12" s="42"/>
      <c r="E12" s="34">
        <f t="shared" si="0"/>
        <v>-8453.7000000000007</v>
      </c>
      <c r="F12" s="34">
        <f t="shared" si="1"/>
        <v>-8453.7000000000007</v>
      </c>
      <c r="G12" s="43">
        <f t="shared" si="2"/>
        <v>0</v>
      </c>
      <c r="H12" s="42">
        <v>8568.6</v>
      </c>
      <c r="I12" s="42"/>
      <c r="J12" s="34"/>
      <c r="K12" s="34">
        <f t="shared" si="3"/>
        <v>-8568.6</v>
      </c>
      <c r="L12" s="34">
        <f t="shared" si="4"/>
        <v>-8568.6</v>
      </c>
      <c r="M12" s="43">
        <f t="shared" si="5"/>
        <v>0</v>
      </c>
      <c r="N12" s="41">
        <v>8445.2000000000007</v>
      </c>
      <c r="O12" s="42"/>
      <c r="P12" s="34"/>
      <c r="Q12" s="34">
        <f t="shared" si="6"/>
        <v>-8445.2000000000007</v>
      </c>
      <c r="R12" s="34">
        <f t="shared" si="7"/>
        <v>-8445.2000000000007</v>
      </c>
      <c r="S12" s="43">
        <f t="shared" si="8"/>
        <v>0</v>
      </c>
      <c r="T12" s="41">
        <v>8561</v>
      </c>
      <c r="U12" s="42"/>
      <c r="V12" s="34"/>
      <c r="W12" s="34">
        <f t="shared" si="9"/>
        <v>-8561</v>
      </c>
      <c r="X12" s="34">
        <f t="shared" si="10"/>
        <v>-8561</v>
      </c>
      <c r="Y12" s="43">
        <f t="shared" si="11"/>
        <v>0</v>
      </c>
      <c r="Z12" s="54"/>
      <c r="AA12" s="54"/>
      <c r="AB12" s="54"/>
      <c r="AC12" s="54"/>
      <c r="AD12" s="54"/>
      <c r="AE12" s="54"/>
      <c r="AF12" s="78">
        <v>8371.1</v>
      </c>
      <c r="AG12" s="60"/>
      <c r="AH12" s="60"/>
      <c r="AI12" s="60">
        <f t="shared" si="18"/>
        <v>-8371.1</v>
      </c>
      <c r="AJ12" s="60">
        <f t="shared" si="19"/>
        <v>-8371.1</v>
      </c>
      <c r="AK12" s="53">
        <f t="shared" si="20"/>
        <v>0</v>
      </c>
      <c r="AL12" s="1"/>
      <c r="AM12" s="81">
        <v>8470.0499999999993</v>
      </c>
      <c r="AN12" s="81">
        <v>8387.4500000000007</v>
      </c>
      <c r="AO12" s="81">
        <v>8441.75</v>
      </c>
      <c r="AP12" s="82">
        <v>8557.6</v>
      </c>
      <c r="AQ12" s="81"/>
    </row>
    <row r="13" spans="1:44" ht="13.5" x14ac:dyDescent="0.2">
      <c r="A13" s="2">
        <v>10</v>
      </c>
      <c r="B13" s="41">
        <v>8455.9</v>
      </c>
      <c r="C13" s="42"/>
      <c r="D13" s="42"/>
      <c r="E13" s="34">
        <f t="shared" si="0"/>
        <v>-8455.9</v>
      </c>
      <c r="F13" s="34">
        <f t="shared" si="1"/>
        <v>-8455.9</v>
      </c>
      <c r="G13" s="43">
        <f t="shared" si="2"/>
        <v>0</v>
      </c>
      <c r="H13" s="42">
        <v>8395.7999999999993</v>
      </c>
      <c r="I13" s="42"/>
      <c r="J13" s="34"/>
      <c r="K13" s="34">
        <f t="shared" si="3"/>
        <v>-8395.7999999999993</v>
      </c>
      <c r="L13" s="34">
        <f t="shared" si="4"/>
        <v>-8395.7999999999993</v>
      </c>
      <c r="M13" s="43">
        <f t="shared" si="5"/>
        <v>0</v>
      </c>
      <c r="N13" s="41">
        <v>8455.2000000000007</v>
      </c>
      <c r="O13" s="42"/>
      <c r="P13" s="34"/>
      <c r="Q13" s="34">
        <f t="shared" si="6"/>
        <v>-8455.2000000000007</v>
      </c>
      <c r="R13" s="34">
        <f t="shared" si="7"/>
        <v>-8455.2000000000007</v>
      </c>
      <c r="S13" s="43">
        <f t="shared" si="8"/>
        <v>0</v>
      </c>
      <c r="T13" s="41">
        <v>8570.4</v>
      </c>
      <c r="U13" s="42"/>
      <c r="V13" s="34"/>
      <c r="W13" s="34">
        <f t="shared" si="9"/>
        <v>-8570.4</v>
      </c>
      <c r="X13" s="34">
        <f t="shared" si="10"/>
        <v>-8570.4</v>
      </c>
      <c r="Y13" s="43">
        <f t="shared" si="11"/>
        <v>0</v>
      </c>
      <c r="Z13" s="54"/>
      <c r="AA13" s="54"/>
      <c r="AB13" s="54"/>
      <c r="AC13" s="54"/>
      <c r="AD13" s="54"/>
      <c r="AE13" s="54"/>
      <c r="AF13" s="78">
        <v>8271.15</v>
      </c>
      <c r="AG13" s="60"/>
      <c r="AH13" s="60"/>
      <c r="AI13" s="60">
        <f t="shared" si="18"/>
        <v>-8271.15</v>
      </c>
      <c r="AJ13" s="60">
        <f t="shared" si="19"/>
        <v>-8271.15</v>
      </c>
      <c r="AK13" s="53">
        <f t="shared" si="20"/>
        <v>0</v>
      </c>
      <c r="AL13" s="1"/>
      <c r="AM13" s="81">
        <v>8470.9500000000007</v>
      </c>
      <c r="AN13" s="81">
        <v>8393.7999999999993</v>
      </c>
      <c r="AO13" s="81">
        <v>8451.7999999999993</v>
      </c>
      <c r="AP13" s="82">
        <v>8564.1</v>
      </c>
      <c r="AQ13" s="81"/>
    </row>
    <row r="14" spans="1:44" ht="13.5" x14ac:dyDescent="0.2">
      <c r="A14" s="2">
        <v>11</v>
      </c>
      <c r="B14" s="41">
        <v>8300</v>
      </c>
      <c r="C14" s="42"/>
      <c r="D14" s="42"/>
      <c r="E14" s="34">
        <f t="shared" si="0"/>
        <v>-8300</v>
      </c>
      <c r="F14" s="34">
        <f t="shared" si="1"/>
        <v>-8300</v>
      </c>
      <c r="G14" s="43">
        <f t="shared" si="2"/>
        <v>0</v>
      </c>
      <c r="H14" s="42">
        <v>8252.2999999999993</v>
      </c>
      <c r="I14" s="42"/>
      <c r="J14" s="34"/>
      <c r="K14" s="34">
        <f t="shared" si="3"/>
        <v>-8252.2999999999993</v>
      </c>
      <c r="L14" s="34">
        <f t="shared" si="4"/>
        <v>-8252.2999999999993</v>
      </c>
      <c r="M14" s="43">
        <f t="shared" si="5"/>
        <v>0</v>
      </c>
      <c r="N14" s="41">
        <v>8285.6</v>
      </c>
      <c r="O14" s="42"/>
      <c r="P14" s="34"/>
      <c r="Q14" s="34">
        <f t="shared" si="6"/>
        <v>-8285.6</v>
      </c>
      <c r="R14" s="34">
        <f t="shared" si="7"/>
        <v>-8285.6</v>
      </c>
      <c r="S14" s="43">
        <f t="shared" si="8"/>
        <v>0</v>
      </c>
      <c r="T14" s="41">
        <v>8422.6</v>
      </c>
      <c r="U14" s="42"/>
      <c r="V14" s="34"/>
      <c r="W14" s="34">
        <f t="shared" si="9"/>
        <v>-8422.6</v>
      </c>
      <c r="X14" s="34">
        <f t="shared" si="10"/>
        <v>-8422.6</v>
      </c>
      <c r="Y14" s="43">
        <f t="shared" si="11"/>
        <v>0</v>
      </c>
      <c r="Z14" s="54"/>
      <c r="AA14" s="54"/>
      <c r="AB14" s="54"/>
      <c r="AC14" s="54"/>
      <c r="AD14" s="54"/>
      <c r="AE14" s="54"/>
      <c r="AF14" s="78">
        <v>8165.4</v>
      </c>
      <c r="AG14" s="60"/>
      <c r="AH14" s="60"/>
      <c r="AI14" s="60">
        <f t="shared" si="18"/>
        <v>-8165.4</v>
      </c>
      <c r="AJ14" s="60">
        <f t="shared" si="19"/>
        <v>-8165.4</v>
      </c>
      <c r="AK14" s="53">
        <f t="shared" si="20"/>
        <v>0</v>
      </c>
      <c r="AL14" s="1"/>
      <c r="AM14" s="81">
        <v>8316.85</v>
      </c>
      <c r="AN14" s="81">
        <v>8255.35</v>
      </c>
      <c r="AO14" s="81">
        <v>8289</v>
      </c>
      <c r="AP14" s="82">
        <v>8418.9500000000007</v>
      </c>
      <c r="AQ14" s="81"/>
    </row>
    <row r="15" spans="1:44" ht="13.5" x14ac:dyDescent="0.2">
      <c r="A15" s="2">
        <v>12</v>
      </c>
      <c r="B15" s="41">
        <v>8212.5</v>
      </c>
      <c r="C15" s="42"/>
      <c r="D15" s="42"/>
      <c r="E15" s="34">
        <f t="shared" si="0"/>
        <v>-8212.5</v>
      </c>
      <c r="F15" s="34">
        <f t="shared" si="1"/>
        <v>-8212.5</v>
      </c>
      <c r="G15" s="43">
        <f t="shared" si="2"/>
        <v>0</v>
      </c>
      <c r="H15" s="42">
        <v>8176</v>
      </c>
      <c r="I15" s="42"/>
      <c r="J15" s="34"/>
      <c r="K15" s="34">
        <f t="shared" si="3"/>
        <v>-8176</v>
      </c>
      <c r="L15" s="34">
        <f t="shared" si="4"/>
        <v>-8176</v>
      </c>
      <c r="M15" s="43">
        <f t="shared" si="5"/>
        <v>0</v>
      </c>
      <c r="N15" s="41">
        <v>8211.4</v>
      </c>
      <c r="O15" s="42"/>
      <c r="P15" s="34"/>
      <c r="Q15" s="34">
        <f t="shared" si="6"/>
        <v>-8211.4</v>
      </c>
      <c r="R15" s="34">
        <f t="shared" si="7"/>
        <v>-8211.4</v>
      </c>
      <c r="S15" s="43">
        <f t="shared" si="8"/>
        <v>0</v>
      </c>
      <c r="T15" s="41">
        <v>8288.5</v>
      </c>
      <c r="U15" s="42"/>
      <c r="V15" s="34"/>
      <c r="W15" s="34">
        <f t="shared" si="9"/>
        <v>-8288.5</v>
      </c>
      <c r="X15" s="34">
        <f t="shared" si="10"/>
        <v>-8288.5</v>
      </c>
      <c r="Y15" s="43">
        <f t="shared" si="11"/>
        <v>0</v>
      </c>
      <c r="Z15" s="54"/>
      <c r="AA15" s="54"/>
      <c r="AB15" s="54"/>
      <c r="AC15" s="54"/>
      <c r="AD15" s="54"/>
      <c r="AE15" s="54"/>
      <c r="AF15" s="78">
        <v>8096.25</v>
      </c>
      <c r="AG15" s="60"/>
      <c r="AH15" s="60"/>
      <c r="AI15" s="60">
        <f t="shared" si="18"/>
        <v>-8096.25</v>
      </c>
      <c r="AJ15" s="60">
        <f t="shared" si="19"/>
        <v>-8096.25</v>
      </c>
      <c r="AK15" s="53">
        <f t="shared" si="20"/>
        <v>0</v>
      </c>
      <c r="AL15" s="1"/>
      <c r="AM15" s="81">
        <v>8227.25</v>
      </c>
      <c r="AN15" s="81">
        <v>8176.7</v>
      </c>
      <c r="AO15" s="81">
        <v>8214.15</v>
      </c>
      <c r="AP15" s="83">
        <v>8282.9500000000007</v>
      </c>
      <c r="AQ15" s="81"/>
    </row>
    <row r="16" spans="1:44" ht="13.5" x14ac:dyDescent="0.2">
      <c r="A16" s="2">
        <v>13</v>
      </c>
      <c r="B16" s="41">
        <v>8160.6</v>
      </c>
      <c r="C16" s="42"/>
      <c r="D16" s="42"/>
      <c r="E16" s="34">
        <f t="shared" si="0"/>
        <v>-8160.6</v>
      </c>
      <c r="F16" s="34">
        <f t="shared" si="1"/>
        <v>-8160.6</v>
      </c>
      <c r="G16" s="43">
        <f t="shared" si="2"/>
        <v>0</v>
      </c>
      <c r="H16" s="42">
        <v>8127.7</v>
      </c>
      <c r="I16" s="42"/>
      <c r="J16" s="34"/>
      <c r="K16" s="34">
        <f t="shared" si="3"/>
        <v>-8127.7</v>
      </c>
      <c r="L16" s="34">
        <f t="shared" si="4"/>
        <v>-8127.7</v>
      </c>
      <c r="M16" s="43">
        <f t="shared" si="5"/>
        <v>0</v>
      </c>
      <c r="N16" s="41">
        <v>8164.1</v>
      </c>
      <c r="O16" s="42"/>
      <c r="P16" s="34"/>
      <c r="Q16" s="34">
        <f t="shared" si="6"/>
        <v>-8164.1</v>
      </c>
      <c r="R16" s="34">
        <f t="shared" si="7"/>
        <v>-8164.1</v>
      </c>
      <c r="S16" s="43">
        <f t="shared" si="8"/>
        <v>0</v>
      </c>
      <c r="T16" s="36">
        <v>8166.5</v>
      </c>
      <c r="U16" s="34"/>
      <c r="V16" s="34"/>
      <c r="W16" s="34">
        <f t="shared" si="9"/>
        <v>-8166.5</v>
      </c>
      <c r="X16" s="34">
        <f t="shared" si="10"/>
        <v>-8166.5</v>
      </c>
      <c r="Y16" s="43">
        <f t="shared" si="11"/>
        <v>0</v>
      </c>
      <c r="Z16" s="54"/>
      <c r="AA16" s="54"/>
      <c r="AB16" s="54"/>
      <c r="AC16" s="54"/>
      <c r="AD16" s="54"/>
      <c r="AE16" s="54"/>
      <c r="AF16" s="78">
        <v>8086.3</v>
      </c>
      <c r="AG16" s="60"/>
      <c r="AH16" s="60"/>
      <c r="AI16" s="60">
        <f t="shared" si="18"/>
        <v>-8086.3</v>
      </c>
      <c r="AJ16" s="60">
        <f t="shared" si="19"/>
        <v>-8086.3</v>
      </c>
      <c r="AK16" s="53">
        <f t="shared" si="20"/>
        <v>0</v>
      </c>
      <c r="AL16" s="1"/>
      <c r="AM16" s="81">
        <v>8175.55</v>
      </c>
      <c r="AN16" s="81">
        <v>8129</v>
      </c>
      <c r="AO16" s="81">
        <v>8165.7</v>
      </c>
      <c r="AP16" s="83">
        <v>8161.95</v>
      </c>
      <c r="AQ16" s="81"/>
    </row>
    <row r="17" spans="1:43" ht="13.5" thickBot="1" x14ac:dyDescent="0.25">
      <c r="A17" s="2">
        <v>14</v>
      </c>
      <c r="B17" s="36">
        <v>8044.4</v>
      </c>
      <c r="C17" s="34"/>
      <c r="D17" s="34"/>
      <c r="E17" s="34">
        <f t="shared" si="0"/>
        <v>-8044.4</v>
      </c>
      <c r="F17" s="34">
        <f t="shared" si="1"/>
        <v>-8044.4</v>
      </c>
      <c r="G17" s="43">
        <f t="shared" si="2"/>
        <v>0</v>
      </c>
      <c r="H17" s="34">
        <v>8009.8</v>
      </c>
      <c r="I17" s="34"/>
      <c r="J17" s="34"/>
      <c r="K17" s="34">
        <f t="shared" si="3"/>
        <v>-8009.8</v>
      </c>
      <c r="L17" s="34">
        <f t="shared" si="4"/>
        <v>-8009.8</v>
      </c>
      <c r="M17" s="43">
        <f t="shared" si="5"/>
        <v>0</v>
      </c>
      <c r="N17" s="36">
        <v>8059.2</v>
      </c>
      <c r="O17" s="34"/>
      <c r="P17" s="34"/>
      <c r="Q17" s="34">
        <f t="shared" si="6"/>
        <v>-8059.2</v>
      </c>
      <c r="R17" s="34">
        <f t="shared" si="7"/>
        <v>-8059.2</v>
      </c>
      <c r="S17" s="43">
        <f t="shared" si="8"/>
        <v>0</v>
      </c>
      <c r="T17" s="37">
        <v>8062.8</v>
      </c>
      <c r="U17" s="38"/>
      <c r="V17" s="38"/>
      <c r="W17" s="38">
        <f t="shared" si="9"/>
        <v>-8062.8</v>
      </c>
      <c r="X17" s="38">
        <f t="shared" si="10"/>
        <v>-8062.8</v>
      </c>
      <c r="Y17" s="51">
        <f t="shared" si="11"/>
        <v>0</v>
      </c>
      <c r="Z17" s="54"/>
      <c r="AA17" s="54"/>
      <c r="AB17" s="54"/>
      <c r="AC17" s="54"/>
      <c r="AD17" s="54"/>
      <c r="AE17" s="54"/>
      <c r="AF17" s="76"/>
      <c r="AG17" s="54"/>
      <c r="AH17" s="54"/>
      <c r="AI17" s="54"/>
      <c r="AJ17" s="54"/>
      <c r="AK17" s="55"/>
      <c r="AL17" s="14"/>
      <c r="AM17" s="81">
        <v>8057.9</v>
      </c>
      <c r="AN17" s="81">
        <v>8009.9</v>
      </c>
      <c r="AO17" s="81">
        <v>8060.25</v>
      </c>
      <c r="AP17" s="81">
        <v>8056.9</v>
      </c>
      <c r="AQ17" s="81"/>
    </row>
    <row r="18" spans="1:43" x14ac:dyDescent="0.2">
      <c r="A18" s="2">
        <v>15</v>
      </c>
      <c r="B18" s="36">
        <v>7993</v>
      </c>
      <c r="C18" s="34"/>
      <c r="D18" s="34"/>
      <c r="E18" s="34">
        <f t="shared" si="0"/>
        <v>-7993</v>
      </c>
      <c r="F18" s="34">
        <f t="shared" si="1"/>
        <v>-7993</v>
      </c>
      <c r="G18" s="43">
        <f t="shared" si="2"/>
        <v>0</v>
      </c>
      <c r="H18" s="34">
        <v>7944.7</v>
      </c>
      <c r="I18" s="34"/>
      <c r="J18" s="34"/>
      <c r="K18" s="34">
        <f t="shared" si="3"/>
        <v>-7944.7</v>
      </c>
      <c r="L18" s="34">
        <f t="shared" si="4"/>
        <v>-7944.7</v>
      </c>
      <c r="M18" s="43">
        <f t="shared" si="5"/>
        <v>0</v>
      </c>
      <c r="N18" s="36">
        <v>7989.1</v>
      </c>
      <c r="O18" s="34"/>
      <c r="P18" s="34"/>
      <c r="Q18" s="34">
        <f t="shared" si="6"/>
        <v>-7989.1</v>
      </c>
      <c r="R18" s="34">
        <f t="shared" si="7"/>
        <v>-7989.1</v>
      </c>
      <c r="S18" s="43">
        <f t="shared" si="8"/>
        <v>0</v>
      </c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76"/>
      <c r="AG18" s="54"/>
      <c r="AH18" s="54"/>
      <c r="AI18" s="54"/>
      <c r="AJ18" s="54"/>
      <c r="AK18" s="55"/>
      <c r="AL18" s="14"/>
      <c r="AM18" s="84">
        <v>7996.15</v>
      </c>
      <c r="AN18" s="81">
        <v>7942.3</v>
      </c>
      <c r="AO18" s="81">
        <v>7990.3</v>
      </c>
      <c r="AP18" s="81"/>
      <c r="AQ18" s="81"/>
    </row>
    <row r="19" spans="1:43" ht="15" customHeight="1" x14ac:dyDescent="0.2">
      <c r="A19" s="2">
        <v>16</v>
      </c>
      <c r="B19" s="36">
        <v>7969.5</v>
      </c>
      <c r="C19" s="34"/>
      <c r="D19" s="34"/>
      <c r="E19" s="34">
        <f t="shared" si="0"/>
        <v>-7969.5</v>
      </c>
      <c r="F19" s="34">
        <f t="shared" si="1"/>
        <v>-7969.5</v>
      </c>
      <c r="G19" s="43">
        <f t="shared" si="2"/>
        <v>0</v>
      </c>
      <c r="H19" s="34">
        <v>7899.4</v>
      </c>
      <c r="I19" s="34"/>
      <c r="J19" s="34"/>
      <c r="K19" s="34">
        <f t="shared" si="3"/>
        <v>-7899.4</v>
      </c>
      <c r="L19" s="34">
        <f t="shared" si="4"/>
        <v>-7899.4</v>
      </c>
      <c r="M19" s="43">
        <f t="shared" si="5"/>
        <v>0</v>
      </c>
      <c r="N19" s="36">
        <v>7950.4</v>
      </c>
      <c r="O19" s="34"/>
      <c r="P19" s="34"/>
      <c r="Q19" s="34">
        <f t="shared" si="6"/>
        <v>-7950.4</v>
      </c>
      <c r="R19" s="34">
        <f t="shared" si="7"/>
        <v>-7950.4</v>
      </c>
      <c r="S19" s="43">
        <f t="shared" si="8"/>
        <v>0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18"/>
      <c r="AG19" s="57"/>
      <c r="AH19" s="56"/>
      <c r="AI19" s="56"/>
      <c r="AJ19" s="56"/>
      <c r="AK19" s="19"/>
      <c r="AM19" s="81">
        <v>7973.1</v>
      </c>
      <c r="AN19" s="81">
        <v>7900.15</v>
      </c>
      <c r="AO19" s="81">
        <v>7945.95</v>
      </c>
      <c r="AP19" s="81"/>
      <c r="AQ19" s="81"/>
    </row>
    <row r="20" spans="1:43" ht="15" customHeight="1" x14ac:dyDescent="0.2">
      <c r="A20" s="2">
        <v>17</v>
      </c>
      <c r="B20" s="36">
        <v>7757.8</v>
      </c>
      <c r="C20" s="34"/>
      <c r="D20" s="34"/>
      <c r="E20" s="34">
        <f t="shared" si="0"/>
        <v>-7757.8</v>
      </c>
      <c r="F20" s="34">
        <f t="shared" si="1"/>
        <v>-7757.8</v>
      </c>
      <c r="G20" s="43">
        <f t="shared" si="2"/>
        <v>0</v>
      </c>
      <c r="H20" s="34">
        <v>7742.4</v>
      </c>
      <c r="I20" s="34"/>
      <c r="J20" s="34"/>
      <c r="K20" s="34">
        <f t="shared" si="3"/>
        <v>-7742.4</v>
      </c>
      <c r="L20" s="34">
        <f t="shared" si="4"/>
        <v>-7742.4</v>
      </c>
      <c r="M20" s="43">
        <f t="shared" si="5"/>
        <v>0</v>
      </c>
      <c r="N20" s="36">
        <v>7836.8</v>
      </c>
      <c r="O20" s="34"/>
      <c r="P20" s="34"/>
      <c r="Q20" s="34">
        <f t="shared" si="6"/>
        <v>-7836.8</v>
      </c>
      <c r="R20" s="34">
        <f t="shared" si="7"/>
        <v>-7836.8</v>
      </c>
      <c r="S20" s="43">
        <f t="shared" si="8"/>
        <v>0</v>
      </c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18"/>
      <c r="AG20" s="57"/>
      <c r="AH20" s="56"/>
      <c r="AI20" s="56"/>
      <c r="AJ20" s="56"/>
      <c r="AK20" s="19"/>
      <c r="AM20" s="80"/>
      <c r="AN20" s="80"/>
      <c r="AO20" s="80"/>
      <c r="AP20" s="80"/>
      <c r="AQ20" s="80"/>
    </row>
    <row r="21" spans="1:43" ht="15" customHeight="1" thickBot="1" x14ac:dyDescent="0.25">
      <c r="A21" s="3">
        <v>18</v>
      </c>
      <c r="B21" s="37">
        <v>7653.9</v>
      </c>
      <c r="C21" s="38"/>
      <c r="D21" s="38"/>
      <c r="E21" s="38">
        <f t="shared" si="0"/>
        <v>-7653.9</v>
      </c>
      <c r="F21" s="38">
        <f t="shared" si="1"/>
        <v>-7653.9</v>
      </c>
      <c r="G21" s="51">
        <f t="shared" si="2"/>
        <v>0</v>
      </c>
      <c r="H21" s="38">
        <v>7701.6</v>
      </c>
      <c r="I21" s="38"/>
      <c r="J21" s="38"/>
      <c r="K21" s="38">
        <f t="shared" si="3"/>
        <v>-7701.6</v>
      </c>
      <c r="L21" s="38">
        <f t="shared" si="4"/>
        <v>-7701.6</v>
      </c>
      <c r="M21" s="51">
        <f t="shared" si="5"/>
        <v>0</v>
      </c>
      <c r="N21" s="37">
        <v>7797.9</v>
      </c>
      <c r="O21" s="38"/>
      <c r="P21" s="38"/>
      <c r="Q21" s="38">
        <f t="shared" si="6"/>
        <v>-7797.9</v>
      </c>
      <c r="R21" s="38">
        <f t="shared" si="7"/>
        <v>-7797.9</v>
      </c>
      <c r="S21" s="51">
        <f t="shared" si="8"/>
        <v>0</v>
      </c>
      <c r="T21" s="52"/>
      <c r="U21" s="39"/>
      <c r="V21" s="39"/>
      <c r="W21" s="39"/>
      <c r="X21" s="39"/>
      <c r="Y21" s="39"/>
      <c r="Z21" s="58"/>
      <c r="AA21" s="58"/>
      <c r="AB21" s="58"/>
      <c r="AC21" s="58"/>
      <c r="AD21" s="58"/>
      <c r="AE21" s="58"/>
      <c r="AF21" s="20"/>
      <c r="AG21" s="59"/>
      <c r="AH21" s="13"/>
      <c r="AI21" s="13"/>
      <c r="AJ21" s="13"/>
      <c r="AK21" s="21"/>
    </row>
    <row r="22" spans="1:43" ht="15" customHeight="1" x14ac:dyDescent="0.25">
      <c r="A22" s="2"/>
      <c r="B22" s="40"/>
      <c r="C22" s="40"/>
      <c r="D22" s="34"/>
      <c r="E22" s="34"/>
      <c r="F22" s="34"/>
      <c r="G22" s="40"/>
      <c r="H22" s="40"/>
      <c r="I22" s="40"/>
      <c r="J22" s="34"/>
      <c r="K22" s="34"/>
      <c r="L22" s="34"/>
      <c r="M22" s="40"/>
      <c r="N22" s="34"/>
      <c r="O22" s="34"/>
      <c r="P22" s="34"/>
      <c r="Q22" s="34"/>
      <c r="R22" s="34"/>
      <c r="S22" s="40"/>
      <c r="T22" s="40"/>
      <c r="U22" s="34"/>
      <c r="V22" s="34"/>
      <c r="W22" s="34"/>
      <c r="X22" s="34"/>
      <c r="Y22" s="40"/>
      <c r="Z22"/>
      <c r="AA22"/>
      <c r="AB22"/>
      <c r="AC22"/>
      <c r="AD22"/>
      <c r="AE22"/>
      <c r="AF22" s="14"/>
      <c r="AG22" s="4"/>
      <c r="AH22" s="14"/>
      <c r="AI22" s="14"/>
      <c r="AJ22" s="14"/>
      <c r="AK22" s="14"/>
    </row>
    <row r="23" spans="1:43" ht="15" x14ac:dyDescent="0.25">
      <c r="A23" s="2"/>
      <c r="B23" s="14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16"/>
      <c r="AA23" s="16"/>
      <c r="AB23" s="16"/>
      <c r="AC23" s="16"/>
      <c r="AD23" s="16"/>
      <c r="AE23" s="16"/>
      <c r="AF23" s="14"/>
      <c r="AG23" s="26"/>
      <c r="AH23" s="14"/>
      <c r="AI23" s="14"/>
      <c r="AJ23" s="14"/>
      <c r="AK23" s="14"/>
    </row>
    <row r="24" spans="1:43" ht="15" x14ac:dyDescent="0.25">
      <c r="A24" s="2"/>
      <c r="B24" s="1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 s="16"/>
      <c r="AA24" s="16"/>
      <c r="AB24" s="16"/>
      <c r="AC24" s="16"/>
      <c r="AD24" s="16"/>
      <c r="AE24" s="16"/>
      <c r="AF24" s="14"/>
      <c r="AG24" s="4"/>
      <c r="AH24" s="12"/>
      <c r="AI24" s="14"/>
      <c r="AJ24" s="14"/>
      <c r="AK24" s="14"/>
    </row>
    <row r="25" spans="1:43" ht="15" x14ac:dyDescent="0.25">
      <c r="A25" s="15"/>
      <c r="B25" s="14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16"/>
      <c r="AA25" s="16"/>
      <c r="AB25" s="16"/>
      <c r="AC25" s="16"/>
      <c r="AD25" s="16"/>
      <c r="AE25" s="16"/>
      <c r="AF25" s="14"/>
      <c r="AG25" s="26"/>
      <c r="AH25" s="14"/>
      <c r="AI25" s="14"/>
      <c r="AJ25" s="14"/>
      <c r="AK25" s="14"/>
    </row>
    <row r="26" spans="1:43" ht="15" x14ac:dyDescent="0.25">
      <c r="A26" s="15"/>
      <c r="B26" s="14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 s="16"/>
      <c r="AA26" s="16"/>
      <c r="AB26" s="16"/>
      <c r="AC26" s="16"/>
      <c r="AD26" s="16"/>
      <c r="AE26" s="16"/>
      <c r="AF26" s="14"/>
      <c r="AG26" s="4"/>
      <c r="AH26" s="14"/>
      <c r="AI26" s="14"/>
      <c r="AJ26" s="14"/>
      <c r="AK26" s="14"/>
    </row>
    <row r="27" spans="1:43" ht="27" customHeight="1" x14ac:dyDescent="0.25">
      <c r="A27" s="15"/>
      <c r="B27" s="14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 s="16"/>
      <c r="AA27" s="16"/>
      <c r="AB27" s="16"/>
      <c r="AC27" s="16"/>
      <c r="AD27" s="16"/>
      <c r="AE27" s="16"/>
      <c r="AF27" s="14"/>
      <c r="AG27" s="26"/>
      <c r="AH27" s="14"/>
      <c r="AI27" s="27"/>
      <c r="AJ27" s="14"/>
      <c r="AK27" s="14"/>
    </row>
    <row r="28" spans="1:43" ht="15" x14ac:dyDescent="0.25">
      <c r="A28" s="15"/>
      <c r="B28" s="14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 s="16"/>
      <c r="AA28" s="16"/>
      <c r="AB28" s="16"/>
      <c r="AC28" s="16"/>
      <c r="AD28" s="16"/>
      <c r="AE28" s="16"/>
      <c r="AF28" s="14"/>
      <c r="AG28" s="4"/>
      <c r="AH28" s="14"/>
      <c r="AI28" s="14"/>
      <c r="AJ28" s="14"/>
      <c r="AK28" s="14"/>
    </row>
    <row r="29" spans="1:43" x14ac:dyDescent="0.2">
      <c r="A29" s="15"/>
      <c r="H29" s="14"/>
      <c r="I29" s="11"/>
      <c r="J29" s="12"/>
      <c r="K29" s="11"/>
      <c r="L29" s="12"/>
      <c r="M29" s="16"/>
      <c r="N29" s="14"/>
      <c r="O29" s="11"/>
      <c r="P29" s="12"/>
      <c r="Q29" s="11"/>
      <c r="R29" s="12"/>
      <c r="S29" s="16"/>
      <c r="T29" s="14"/>
      <c r="U29" s="11"/>
      <c r="V29" s="12"/>
      <c r="W29" s="11"/>
      <c r="X29" s="12"/>
      <c r="Y29" s="16"/>
      <c r="Z29" s="16"/>
      <c r="AA29" s="16"/>
      <c r="AB29" s="16"/>
      <c r="AC29" s="16"/>
      <c r="AD29" s="16"/>
      <c r="AE29" s="16"/>
      <c r="AF29" s="14"/>
      <c r="AG29" s="26"/>
      <c r="AH29" s="14"/>
      <c r="AI29" s="14"/>
      <c r="AJ29" s="14"/>
      <c r="AK29" s="14"/>
    </row>
    <row r="30" spans="1:43" ht="15" x14ac:dyDescent="0.25">
      <c r="A30"/>
      <c r="H30" s="14"/>
      <c r="I30" s="11"/>
      <c r="J30" s="12"/>
      <c r="K30" s="11"/>
      <c r="L30" s="12"/>
      <c r="M30" s="16"/>
      <c r="N30" s="14"/>
      <c r="O30" s="11"/>
      <c r="P30" s="12"/>
      <c r="Q30" s="11"/>
      <c r="R30" s="12"/>
      <c r="S30" s="16"/>
      <c r="T30" s="14"/>
      <c r="U30" s="11"/>
      <c r="V30" s="12"/>
      <c r="W30" s="11"/>
      <c r="X30" s="12"/>
      <c r="Y30" s="16"/>
      <c r="Z30" s="16"/>
      <c r="AA30" s="16"/>
      <c r="AB30" s="16"/>
      <c r="AC30" s="16"/>
      <c r="AD30" s="16"/>
      <c r="AE30" s="16"/>
      <c r="AF30" s="14"/>
      <c r="AG30" s="4"/>
      <c r="AH30" s="14"/>
      <c r="AI30" s="14"/>
      <c r="AJ30" s="14"/>
      <c r="AK30" s="14"/>
    </row>
    <row r="31" spans="1:43" ht="15" x14ac:dyDescent="0.25">
      <c r="A31"/>
      <c r="H31" s="14"/>
      <c r="I31" s="11"/>
      <c r="J31" s="12"/>
      <c r="K31" s="11"/>
      <c r="L31" s="12"/>
      <c r="M31" s="16"/>
      <c r="N31" s="14"/>
      <c r="O31" s="11"/>
      <c r="P31" s="12"/>
      <c r="Q31" s="11"/>
      <c r="R31" s="12"/>
      <c r="S31" s="16"/>
      <c r="T31" s="14"/>
      <c r="U31" s="11"/>
      <c r="V31" s="12"/>
      <c r="W31" s="11"/>
      <c r="X31" s="12"/>
      <c r="Y31" s="16"/>
      <c r="Z31" s="16"/>
      <c r="AA31" s="16"/>
      <c r="AB31" s="16"/>
      <c r="AC31" s="16"/>
      <c r="AD31" s="16"/>
      <c r="AE31" s="16"/>
      <c r="AF31" s="14"/>
      <c r="AG31" s="26"/>
      <c r="AH31" s="14"/>
      <c r="AI31" s="14"/>
      <c r="AJ31" s="14"/>
      <c r="AK31" s="14"/>
    </row>
    <row r="32" spans="1:43" ht="15" x14ac:dyDescent="0.25">
      <c r="A32"/>
      <c r="H32" s="14"/>
      <c r="I32" s="11"/>
      <c r="J32" s="12"/>
      <c r="K32" s="11"/>
      <c r="L32" s="12"/>
      <c r="M32" s="16"/>
      <c r="N32" s="14"/>
      <c r="O32" s="11"/>
      <c r="P32" s="12"/>
      <c r="Q32" s="11"/>
      <c r="R32" s="12"/>
      <c r="S32" s="16"/>
      <c r="T32" s="14"/>
      <c r="U32" s="11"/>
      <c r="V32" s="12"/>
      <c r="W32" s="11"/>
      <c r="X32" s="12"/>
      <c r="Y32" s="16"/>
      <c r="Z32" s="16"/>
      <c r="AA32" s="16"/>
      <c r="AB32" s="16"/>
      <c r="AC32" s="16"/>
      <c r="AD32" s="16"/>
      <c r="AE32" s="16"/>
      <c r="AF32" s="14"/>
      <c r="AG32" s="4"/>
      <c r="AH32" s="14"/>
      <c r="AI32" s="14"/>
      <c r="AJ32" s="14"/>
      <c r="AK32" s="14"/>
    </row>
    <row r="33" spans="1:37" ht="15" x14ac:dyDescent="0.25">
      <c r="A33"/>
      <c r="H33" s="14"/>
      <c r="I33" s="11"/>
      <c r="J33" s="12"/>
      <c r="K33" s="11"/>
      <c r="L33" s="12"/>
      <c r="M33" s="16"/>
      <c r="N33" s="14"/>
      <c r="O33" s="11"/>
      <c r="P33" s="12"/>
      <c r="Q33" s="11"/>
      <c r="R33" s="12"/>
      <c r="S33" s="16"/>
      <c r="T33" s="14"/>
      <c r="U33" s="11"/>
      <c r="V33" s="12"/>
      <c r="W33" s="11"/>
      <c r="X33" s="12"/>
      <c r="Y33" s="16"/>
      <c r="Z33" s="16"/>
      <c r="AA33" s="16"/>
      <c r="AB33" s="16"/>
      <c r="AC33" s="16"/>
      <c r="AD33" s="16"/>
      <c r="AE33" s="16"/>
      <c r="AF33" s="14"/>
      <c r="AG33" s="26"/>
      <c r="AH33" s="14"/>
      <c r="AI33" s="14"/>
      <c r="AJ33" s="14"/>
      <c r="AK33" s="14"/>
    </row>
    <row r="34" spans="1:37" ht="15" x14ac:dyDescent="0.25">
      <c r="A34"/>
      <c r="H34" s="14"/>
      <c r="I34" s="11"/>
      <c r="J34" s="12"/>
      <c r="K34" s="11"/>
      <c r="L34" s="12"/>
      <c r="M34" s="16"/>
      <c r="N34" s="14"/>
      <c r="O34" s="11"/>
      <c r="P34" s="12"/>
      <c r="Q34" s="11"/>
      <c r="R34" s="12"/>
      <c r="S34" s="16"/>
      <c r="T34" s="14"/>
      <c r="U34" s="11"/>
      <c r="V34" s="12"/>
      <c r="W34" s="11"/>
      <c r="X34" s="12"/>
      <c r="Y34" s="16"/>
      <c r="Z34" s="16"/>
      <c r="AA34" s="16"/>
      <c r="AB34" s="16"/>
      <c r="AC34" s="16"/>
      <c r="AD34" s="16"/>
      <c r="AE34" s="16"/>
      <c r="AF34" s="14"/>
      <c r="AG34" s="4"/>
      <c r="AH34" s="14"/>
      <c r="AI34" s="14"/>
      <c r="AJ34" s="14"/>
      <c r="AK34" s="14"/>
    </row>
    <row r="35" spans="1:37" ht="15" x14ac:dyDescent="0.25">
      <c r="A35"/>
      <c r="H35" s="14"/>
      <c r="I35" s="11"/>
      <c r="J35" s="12"/>
      <c r="K35" s="11"/>
      <c r="L35" s="12"/>
      <c r="M35" s="16"/>
      <c r="N35" s="14"/>
      <c r="O35" s="11"/>
      <c r="P35" s="12"/>
      <c r="Q35" s="11"/>
      <c r="R35" s="12"/>
      <c r="S35" s="16"/>
      <c r="T35" s="14"/>
      <c r="U35" s="11"/>
      <c r="V35" s="12"/>
      <c r="W35" s="11"/>
      <c r="X35" s="12"/>
      <c r="Y35" s="16"/>
      <c r="Z35" s="16"/>
      <c r="AA35" s="16"/>
      <c r="AB35" s="16"/>
      <c r="AC35" s="16"/>
      <c r="AD35" s="16"/>
      <c r="AE35" s="16"/>
      <c r="AF35" s="14"/>
      <c r="AG35" s="26"/>
      <c r="AH35" s="14"/>
      <c r="AI35" s="14"/>
      <c r="AJ35" s="14"/>
      <c r="AK35" s="14"/>
    </row>
    <row r="36" spans="1:37" ht="15" x14ac:dyDescent="0.25">
      <c r="A36"/>
      <c r="H36" s="14"/>
      <c r="I36" s="11"/>
      <c r="J36" s="12"/>
      <c r="K36" s="11"/>
      <c r="L36" s="12"/>
      <c r="M36" s="16"/>
      <c r="N36" s="14"/>
      <c r="O36" s="11"/>
      <c r="P36" s="12"/>
      <c r="Q36" s="11"/>
      <c r="R36" s="12"/>
      <c r="S36" s="16"/>
      <c r="T36" s="14"/>
      <c r="U36" s="11"/>
      <c r="V36" s="12"/>
      <c r="W36" s="11"/>
      <c r="X36" s="12"/>
      <c r="Y36" s="16"/>
      <c r="Z36" s="16"/>
      <c r="AA36" s="16"/>
      <c r="AB36" s="16"/>
      <c r="AC36" s="16"/>
      <c r="AD36" s="16"/>
      <c r="AE36" s="16"/>
      <c r="AF36" s="14"/>
      <c r="AG36" s="4"/>
      <c r="AH36" s="14"/>
      <c r="AI36" s="14"/>
      <c r="AJ36" s="14"/>
      <c r="AK36" s="14"/>
    </row>
    <row r="37" spans="1:37" ht="15" x14ac:dyDescent="0.25">
      <c r="A37"/>
      <c r="H37" s="14"/>
      <c r="I37" s="11"/>
      <c r="J37" s="12"/>
      <c r="K37" s="11"/>
      <c r="L37" s="12"/>
      <c r="M37" s="16"/>
      <c r="N37" s="14"/>
      <c r="O37" s="11"/>
      <c r="P37" s="12"/>
      <c r="Q37" s="11"/>
      <c r="R37" s="12"/>
      <c r="S37" s="16"/>
      <c r="T37" s="14"/>
      <c r="U37" s="11"/>
      <c r="V37" s="12"/>
      <c r="W37" s="11"/>
      <c r="X37" s="12"/>
      <c r="Y37" s="16"/>
      <c r="Z37" s="16"/>
      <c r="AA37" s="16"/>
      <c r="AB37" s="16"/>
      <c r="AC37" s="16"/>
      <c r="AD37" s="16"/>
      <c r="AE37" s="16"/>
      <c r="AF37" s="14"/>
      <c r="AG37" s="26"/>
      <c r="AH37" s="14"/>
      <c r="AI37" s="14"/>
      <c r="AJ37" s="14"/>
      <c r="AK37" s="14"/>
    </row>
    <row r="38" spans="1:37" ht="15" x14ac:dyDescent="0.25">
      <c r="A38"/>
      <c r="H38" s="14"/>
      <c r="I38" s="11"/>
      <c r="J38" s="12"/>
      <c r="K38" s="11"/>
      <c r="L38" s="12"/>
      <c r="M38" s="16"/>
      <c r="N38" s="14"/>
      <c r="O38" s="11"/>
      <c r="P38" s="12"/>
      <c r="Q38" s="11"/>
      <c r="R38" s="12"/>
      <c r="S38" s="16"/>
      <c r="T38" s="14"/>
      <c r="U38" s="11"/>
      <c r="V38" s="12"/>
      <c r="W38" s="11"/>
      <c r="X38" s="12"/>
      <c r="Y38" s="16"/>
      <c r="Z38" s="16"/>
      <c r="AA38" s="16"/>
      <c r="AB38" s="16"/>
      <c r="AC38" s="16"/>
      <c r="AD38" s="16"/>
      <c r="AE38" s="16"/>
      <c r="AF38" s="14"/>
      <c r="AG38" s="4"/>
      <c r="AH38" s="14"/>
      <c r="AI38" s="14"/>
      <c r="AJ38" s="14"/>
      <c r="AK38" s="14"/>
    </row>
    <row r="39" spans="1:37" ht="15" x14ac:dyDescent="0.25">
      <c r="A39"/>
      <c r="H39" s="14"/>
      <c r="I39" s="11"/>
      <c r="J39" s="12"/>
      <c r="K39" s="11"/>
      <c r="L39" s="12"/>
      <c r="M39" s="16"/>
      <c r="N39" s="14"/>
      <c r="O39" s="11"/>
      <c r="P39" s="12"/>
      <c r="Q39" s="11"/>
      <c r="R39" s="12"/>
      <c r="S39" s="16"/>
      <c r="T39" s="14"/>
      <c r="U39" s="11"/>
      <c r="V39" s="12"/>
      <c r="W39" s="11"/>
      <c r="X39" s="12"/>
      <c r="Y39" s="16"/>
      <c r="Z39" s="16"/>
      <c r="AA39" s="16"/>
      <c r="AB39" s="16"/>
      <c r="AC39" s="16"/>
      <c r="AD39" s="16"/>
      <c r="AE39" s="16"/>
      <c r="AF39" s="14"/>
      <c r="AG39" s="26"/>
      <c r="AH39" s="14"/>
      <c r="AI39" s="14"/>
      <c r="AJ39" s="14"/>
      <c r="AK39" s="14"/>
    </row>
    <row r="40" spans="1:37" ht="15" x14ac:dyDescent="0.25">
      <c r="A40"/>
      <c r="H40" s="14"/>
      <c r="I40" s="11"/>
      <c r="J40" s="12"/>
      <c r="K40" s="11"/>
      <c r="L40" s="12"/>
      <c r="M40" s="16"/>
      <c r="N40" s="14"/>
      <c r="O40" s="11"/>
      <c r="P40" s="12"/>
      <c r="Q40" s="11"/>
      <c r="R40" s="12"/>
      <c r="S40" s="16"/>
      <c r="T40" s="14"/>
      <c r="U40" s="11"/>
      <c r="V40" s="12"/>
      <c r="W40" s="11"/>
      <c r="X40" s="12"/>
      <c r="Y40" s="16"/>
      <c r="Z40" s="16"/>
      <c r="AA40" s="16"/>
      <c r="AB40" s="16"/>
      <c r="AC40" s="16"/>
      <c r="AD40" s="16"/>
      <c r="AE40" s="16"/>
      <c r="AF40" s="14"/>
      <c r="AG40" s="14"/>
      <c r="AH40" s="14"/>
      <c r="AI40" s="14"/>
      <c r="AJ40" s="14"/>
      <c r="AK40" s="14"/>
    </row>
    <row r="41" spans="1:37" ht="15" x14ac:dyDescent="0.25">
      <c r="A41"/>
    </row>
    <row r="42" spans="1:37" ht="15" x14ac:dyDescent="0.25">
      <c r="A42"/>
    </row>
    <row r="43" spans="1:37" ht="15" x14ac:dyDescent="0.25">
      <c r="A43"/>
    </row>
    <row r="44" spans="1:37" ht="15" x14ac:dyDescent="0.25">
      <c r="A44"/>
    </row>
    <row r="45" spans="1:37" ht="15" x14ac:dyDescent="0.25">
      <c r="A45"/>
    </row>
    <row r="46" spans="1:37" ht="15" x14ac:dyDescent="0.25">
      <c r="A46"/>
    </row>
    <row r="47" spans="1:37" ht="15" x14ac:dyDescent="0.25">
      <c r="A47"/>
    </row>
    <row r="48" spans="1:37" ht="15" x14ac:dyDescent="0.25">
      <c r="A48"/>
    </row>
    <row r="49" spans="1:1" ht="15" x14ac:dyDescent="0.25">
      <c r="A49"/>
    </row>
    <row r="108" spans="6:6" x14ac:dyDescent="0.2">
      <c r="F108" s="22">
        <v>235</v>
      </c>
    </row>
  </sheetData>
  <conditionalFormatting sqref="Y17 AE11 Z11:AB11 M4:M21 G4:G21 S4:S21">
    <cfRule type="cellIs" dxfId="9" priority="15" operator="between">
      <formula>10</formula>
      <formula>-10</formula>
    </cfRule>
  </conditionalFormatting>
  <conditionalFormatting sqref="AA4:AE10 Y4:Y16 AC11:AD11">
    <cfRule type="cellIs" dxfId="8" priority="12" operator="between">
      <formula>10</formula>
      <formula>-10</formula>
    </cfRule>
  </conditionalFormatting>
  <conditionalFormatting sqref="E4:G16 K4:M16 Q4:S16 W4:Y15 Q17:R22 AC11:AD11 E17:E22 AA4:AK10 F17:F21 K17:L21 Y16 W16:X17">
    <cfRule type="cellIs" dxfId="7" priority="10" operator="lessThan">
      <formula>-10</formula>
    </cfRule>
  </conditionalFormatting>
  <conditionalFormatting sqref="E4:G16 K4:M16 Q4:S16 W4:Y15 Q17:R22 AC11:AD11 E17:E22 AA4:AK10 F17:F21 K17:L21 Y16 W16:X17">
    <cfRule type="cellIs" dxfId="6" priority="9" operator="greaterThan">
      <formula>10</formula>
    </cfRule>
  </conditionalFormatting>
  <conditionalFormatting sqref="AG4:AK16">
    <cfRule type="cellIs" dxfId="5" priority="6" operator="between">
      <formula>10</formula>
      <formula>-10</formula>
    </cfRule>
  </conditionalFormatting>
  <conditionalFormatting sqref="AG4:AK16">
    <cfRule type="cellIs" dxfId="4" priority="5" operator="lessThan">
      <formula>-10</formula>
    </cfRule>
  </conditionalFormatting>
  <conditionalFormatting sqref="AG4:AK16">
    <cfRule type="cellIs" dxfId="3" priority="4" operator="greaterThan">
      <formula>10</formula>
    </cfRule>
  </conditionalFormatting>
  <conditionalFormatting sqref="Z4:Z10">
    <cfRule type="cellIs" dxfId="2" priority="3" operator="between">
      <formula>10</formula>
      <formula>-10</formula>
    </cfRule>
  </conditionalFormatting>
  <conditionalFormatting sqref="Z4:Z10">
    <cfRule type="cellIs" dxfId="1" priority="2" operator="lessThan">
      <formula>-10</formula>
    </cfRule>
  </conditionalFormatting>
  <conditionalFormatting sqref="Z4:Z10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2023-11-22T23:12:18Z</dcterms:modified>
</cp:coreProperties>
</file>