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SPECTRA2\WEBSITE PUBLISH\"/>
    </mc:Choice>
  </mc:AlternateContent>
  <xr:revisionPtr revIDLastSave="0" documentId="13_ncr:1_{3C3C1F3F-B1F0-4665-894C-3BE8861C9A79}" xr6:coauthVersionLast="47" xr6:coauthVersionMax="47" xr10:uidLastSave="{00000000-0000-0000-0000-000000000000}"/>
  <bookViews>
    <workbookView xWindow="14535" yWindow="1740" windowWidth="7905" windowHeight="13770" xr2:uid="{00000000-000D-0000-FFFF-FFFF00000000}"/>
  </bookViews>
  <sheets>
    <sheet name="Spreadsheet 0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16" i="3" l="1"/>
  <c r="AD16" i="3"/>
  <c r="AC16" i="3"/>
  <c r="N8" i="3"/>
  <c r="Q8" i="3" s="1"/>
  <c r="N9" i="3"/>
  <c r="Q9" i="3" s="1"/>
  <c r="N10" i="3"/>
  <c r="R10" i="3"/>
  <c r="N11" i="3"/>
  <c r="R11" i="3" s="1"/>
  <c r="N4" i="3"/>
  <c r="R4" i="3" s="1"/>
  <c r="V26" i="3" s="1"/>
  <c r="N5" i="3"/>
  <c r="R5" i="3" s="1"/>
  <c r="N6" i="3"/>
  <c r="R6" i="3" s="1"/>
  <c r="N7" i="3"/>
  <c r="R7" i="3"/>
  <c r="Q5" i="3"/>
  <c r="Q7" i="3"/>
  <c r="Q10" i="3"/>
  <c r="Q11" i="3"/>
  <c r="N12" i="3"/>
  <c r="Q12" i="3"/>
  <c r="N13" i="3"/>
  <c r="Q13" i="3" s="1"/>
  <c r="N14" i="3"/>
  <c r="R14" i="3" s="1"/>
  <c r="Q14" i="3"/>
  <c r="N15" i="3"/>
  <c r="R15" i="3" s="1"/>
  <c r="N16" i="3"/>
  <c r="Q16" i="3"/>
  <c r="N17" i="3"/>
  <c r="Q17" i="3" s="1"/>
  <c r="R12" i="3"/>
  <c r="R13" i="3"/>
  <c r="R16" i="3"/>
  <c r="S17" i="3"/>
  <c r="S18" i="3"/>
  <c r="S19" i="3"/>
  <c r="N18" i="3"/>
  <c r="R18" i="3" s="1"/>
  <c r="N19" i="3"/>
  <c r="R19" i="3"/>
  <c r="Q18" i="3"/>
  <c r="Q19" i="3"/>
  <c r="M12" i="3"/>
  <c r="H12" i="3"/>
  <c r="L12" i="3"/>
  <c r="K12" i="3"/>
  <c r="B8" i="3"/>
  <c r="F8" i="3"/>
  <c r="B9" i="3"/>
  <c r="E9" i="3" s="1"/>
  <c r="T25" i="3" s="1"/>
  <c r="B10" i="3"/>
  <c r="F10" i="3" s="1"/>
  <c r="B11" i="3"/>
  <c r="F11" i="3" s="1"/>
  <c r="B4" i="3"/>
  <c r="F4" i="3"/>
  <c r="V25" i="3" s="1"/>
  <c r="V27" i="3" s="1"/>
  <c r="B5" i="3"/>
  <c r="F5" i="3" s="1"/>
  <c r="B6" i="3"/>
  <c r="F6" i="3"/>
  <c r="B7" i="3"/>
  <c r="F7" i="3" s="1"/>
  <c r="E4" i="3"/>
  <c r="E5" i="3"/>
  <c r="E6" i="3"/>
  <c r="E8" i="3"/>
  <c r="E10" i="3"/>
  <c r="E11" i="3"/>
  <c r="B12" i="3"/>
  <c r="F12" i="3" s="1"/>
  <c r="B13" i="3"/>
  <c r="F13" i="3" s="1"/>
  <c r="B14" i="3"/>
  <c r="F14" i="3"/>
  <c r="B15" i="3"/>
  <c r="E15" i="3" s="1"/>
  <c r="F15" i="3"/>
  <c r="B16" i="3"/>
  <c r="F16" i="3" s="1"/>
  <c r="B17" i="3"/>
  <c r="F17" i="3" s="1"/>
  <c r="E12" i="3"/>
  <c r="E13" i="3"/>
  <c r="E14" i="3"/>
  <c r="E17" i="3"/>
  <c r="G17" i="3"/>
  <c r="G18" i="3"/>
  <c r="G19" i="3"/>
  <c r="B18" i="3"/>
  <c r="E18" i="3" s="1"/>
  <c r="B19" i="3"/>
  <c r="F19" i="3"/>
  <c r="E19" i="3"/>
  <c r="Y7" i="3"/>
  <c r="T7" i="3"/>
  <c r="X7" i="3" s="1"/>
  <c r="W7" i="3"/>
  <c r="T5" i="3"/>
  <c r="W5" i="3" s="1"/>
  <c r="T6" i="3"/>
  <c r="X6" i="3"/>
  <c r="AE8" i="3"/>
  <c r="AE9" i="3"/>
  <c r="AE10" i="3"/>
  <c r="AE11" i="3"/>
  <c r="AE12" i="3"/>
  <c r="AE13" i="3"/>
  <c r="AE14" i="3"/>
  <c r="AE15" i="3"/>
  <c r="AD8" i="3"/>
  <c r="AD9" i="3"/>
  <c r="AD10" i="3"/>
  <c r="AD11" i="3"/>
  <c r="AD12" i="3"/>
  <c r="AD13" i="3"/>
  <c r="AD14" i="3"/>
  <c r="AD15" i="3"/>
  <c r="AC8" i="3"/>
  <c r="AC9" i="3"/>
  <c r="AC10" i="3"/>
  <c r="AC11" i="3"/>
  <c r="AC12" i="3"/>
  <c r="AC13" i="3"/>
  <c r="AC14" i="3"/>
  <c r="AC15" i="3"/>
  <c r="AE7" i="3"/>
  <c r="AD7" i="3"/>
  <c r="AC7" i="3"/>
  <c r="AE6" i="3"/>
  <c r="AD6" i="3"/>
  <c r="AC6" i="3"/>
  <c r="AE5" i="3"/>
  <c r="AD5" i="3"/>
  <c r="AC5" i="3"/>
  <c r="AE4" i="3"/>
  <c r="AD4" i="3"/>
  <c r="AC4" i="3"/>
  <c r="T4" i="3"/>
  <c r="W4" i="3" s="1"/>
  <c r="G4" i="3"/>
  <c r="H4" i="3"/>
  <c r="K4" i="3" s="1"/>
  <c r="M4" i="3"/>
  <c r="S4" i="3"/>
  <c r="Y4" i="3"/>
  <c r="G5" i="3"/>
  <c r="H5" i="3"/>
  <c r="K5" i="3" s="1"/>
  <c r="M5" i="3"/>
  <c r="S5" i="3"/>
  <c r="Y5" i="3"/>
  <c r="G6" i="3"/>
  <c r="H6" i="3"/>
  <c r="K6" i="3" s="1"/>
  <c r="M6" i="3"/>
  <c r="S6" i="3"/>
  <c r="Y6" i="3"/>
  <c r="G7" i="3"/>
  <c r="H7" i="3"/>
  <c r="L7" i="3" s="1"/>
  <c r="K7" i="3"/>
  <c r="M7" i="3"/>
  <c r="S7" i="3"/>
  <c r="G8" i="3"/>
  <c r="H8" i="3"/>
  <c r="K8" i="3" s="1"/>
  <c r="M8" i="3"/>
  <c r="S8" i="3"/>
  <c r="G9" i="3"/>
  <c r="H9" i="3"/>
  <c r="K9" i="3" s="1"/>
  <c r="M9" i="3"/>
  <c r="S9" i="3"/>
  <c r="G10" i="3"/>
  <c r="H10" i="3"/>
  <c r="L10" i="3"/>
  <c r="K10" i="3"/>
  <c r="M10" i="3"/>
  <c r="S10" i="3"/>
  <c r="G11" i="3"/>
  <c r="H11" i="3"/>
  <c r="K11" i="3" s="1"/>
  <c r="M11" i="3"/>
  <c r="S11" i="3"/>
  <c r="G12" i="3"/>
  <c r="S12" i="3"/>
  <c r="G13" i="3"/>
  <c r="S13" i="3"/>
  <c r="G14" i="3"/>
  <c r="S14" i="3"/>
  <c r="G15" i="3"/>
  <c r="S15" i="3"/>
  <c r="G16" i="3"/>
  <c r="S16" i="3"/>
  <c r="L11" i="3"/>
  <c r="L8" i="3"/>
  <c r="L5" i="3"/>
  <c r="L4" i="3"/>
  <c r="W6" i="3"/>
  <c r="U25" i="3" l="1"/>
  <c r="U27" i="3" s="1"/>
  <c r="T26" i="3"/>
  <c r="T27" i="3" s="1"/>
  <c r="X25" i="3"/>
  <c r="W25" i="3"/>
  <c r="X26" i="3"/>
  <c r="S25" i="3"/>
  <c r="R8" i="3"/>
  <c r="W26" i="3" s="1"/>
  <c r="L9" i="3"/>
  <c r="E16" i="3"/>
  <c r="E7" i="3"/>
  <c r="Q6" i="3"/>
  <c r="X4" i="3"/>
  <c r="L6" i="3"/>
  <c r="F18" i="3"/>
  <c r="Q15" i="3"/>
  <c r="S26" i="3" s="1"/>
  <c r="R9" i="3"/>
  <c r="F9" i="3"/>
  <c r="Q4" i="3"/>
  <c r="U26" i="3" s="1"/>
  <c r="X5" i="3"/>
  <c r="R17" i="3"/>
  <c r="W27" i="3" l="1"/>
  <c r="S27" i="3"/>
  <c r="X27" i="3"/>
</calcChain>
</file>

<file path=xl/sharedStrings.xml><?xml version="1.0" encoding="utf-8"?>
<sst xmlns="http://schemas.openxmlformats.org/spreadsheetml/2006/main" count="46" uniqueCount="22">
  <si>
    <t>A</t>
  </si>
  <si>
    <t>B</t>
  </si>
  <si>
    <t>C</t>
  </si>
  <si>
    <t>dir.</t>
  </si>
  <si>
    <t>factory</t>
  </si>
  <si>
    <t>TRIM LEFT SIDE</t>
  </si>
  <si>
    <t>TRIM RIGHT SIDE</t>
  </si>
  <si>
    <t>SECTION</t>
  </si>
  <si>
    <t>A average</t>
  </si>
  <si>
    <t>B average</t>
  </si>
  <si>
    <t>FINAL TRIM</t>
  </si>
  <si>
    <t>LEFT</t>
  </si>
  <si>
    <t>RIGHT</t>
  </si>
  <si>
    <t>left</t>
  </si>
  <si>
    <t>left.</t>
  </si>
  <si>
    <t>right</t>
  </si>
  <si>
    <t>symet</t>
  </si>
  <si>
    <t>symet.</t>
  </si>
  <si>
    <t>brake</t>
  </si>
  <si>
    <t>A'</t>
  </si>
  <si>
    <t xml:space="preserve">RISER </t>
  </si>
  <si>
    <t>A`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</si>
</sst>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0.0"/>
  </numFmts>
  <fonts count="4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0"/>
      <color rgb="FF544B77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"/>
      <family val="2"/>
    </font>
    <font>
      <sz val="8"/>
      <color rgb="FFFF0000"/>
      <name val="Calibri"/>
      <family val="2"/>
      <scheme val="minor"/>
    </font>
    <font>
      <sz val="8"/>
      <name val="Calibri"/>
      <family val="2"/>
    </font>
    <font>
      <sz val="11"/>
      <color theme="4" tint="-0.249977111117893"/>
      <name val="Calibri"/>
      <family val="2"/>
    </font>
    <font>
      <b/>
      <sz val="11"/>
      <name val="Calibri"/>
      <family val="2"/>
    </font>
    <font>
      <sz val="10"/>
      <color rgb="FF544B77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</font>
    <font>
      <sz val="11"/>
      <color rgb="FF3F3F3F"/>
      <name val="Calibri"/>
      <family val="2"/>
    </font>
    <font>
      <u/>
      <sz val="11"/>
      <color theme="5" tint="-0.499984740745262"/>
      <name val="Calibri"/>
      <family val="2"/>
    </font>
    <font>
      <sz val="10"/>
      <color rgb="FF334275"/>
      <name val="Calibri"/>
      <family val="2"/>
    </font>
    <font>
      <sz val="10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5">
    <xf numFmtId="0" fontId="0" fillId="0" borderId="0"/>
    <xf numFmtId="0" fontId="2" fillId="0" borderId="0"/>
    <xf numFmtId="0" fontId="4" fillId="0" borderId="0"/>
    <xf numFmtId="0" fontId="20" fillId="0" borderId="0"/>
    <xf numFmtId="0" fontId="2" fillId="0" borderId="0">
      <alignment horizontal="center"/>
    </xf>
    <xf numFmtId="0" fontId="2" fillId="0" borderId="0">
      <alignment horizontal="left"/>
    </xf>
    <xf numFmtId="0" fontId="22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0" fillId="0" borderId="0"/>
    <xf numFmtId="0" fontId="2" fillId="0" borderId="0">
      <alignment horizontal="left"/>
    </xf>
    <xf numFmtId="0" fontId="23" fillId="0" borderId="0">
      <alignment horizontal="left"/>
    </xf>
    <xf numFmtId="0" fontId="21" fillId="0" borderId="0">
      <alignment horizontal="left"/>
    </xf>
    <xf numFmtId="0" fontId="29" fillId="0" borderId="0"/>
  </cellStyleXfs>
  <cellXfs count="148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Border="1"/>
    <xf numFmtId="1" fontId="0" fillId="0" borderId="0" xfId="0" applyNumberFormat="1" applyFont="1" applyBorder="1" applyAlignment="1">
      <alignment horizontal="center" vertical="center"/>
    </xf>
    <xf numFmtId="164" fontId="6" fillId="0" borderId="0" xfId="2" applyNumberFormat="1" applyFont="1" applyFill="1" applyBorder="1" applyAlignment="1">
      <alignment horizontal="left" vertical="top" wrapText="1"/>
    </xf>
    <xf numFmtId="0" fontId="5" fillId="0" borderId="0" xfId="0" applyFont="1"/>
    <xf numFmtId="1" fontId="0" fillId="0" borderId="0" xfId="0" applyNumberFormat="1" applyFont="1" applyBorder="1"/>
    <xf numFmtId="1" fontId="9" fillId="0" borderId="0" xfId="0" applyNumberFormat="1" applyFont="1" applyBorder="1" applyAlignment="1">
      <alignment horizontal="center" vertical="center"/>
    </xf>
    <xf numFmtId="1" fontId="9" fillId="0" borderId="4" xfId="0" applyNumberFormat="1" applyFont="1" applyBorder="1" applyAlignment="1">
      <alignment horizontal="center"/>
    </xf>
    <xf numFmtId="1" fontId="7" fillId="0" borderId="8" xfId="1" applyNumberFormat="1" applyFont="1" applyBorder="1" applyAlignment="1">
      <alignment horizontal="center"/>
    </xf>
    <xf numFmtId="1" fontId="7" fillId="0" borderId="9" xfId="1" applyNumberFormat="1" applyFont="1" applyBorder="1" applyAlignment="1">
      <alignment horizontal="center"/>
    </xf>
    <xf numFmtId="1" fontId="10" fillId="0" borderId="0" xfId="0" applyNumberFormat="1" applyFont="1" applyAlignment="1">
      <alignment horizontal="center" vertical="center"/>
    </xf>
    <xf numFmtId="1" fontId="10" fillId="0" borderId="0" xfId="0" applyNumberFormat="1" applyFont="1" applyBorder="1" applyAlignment="1">
      <alignment horizontal="center" vertical="center"/>
    </xf>
    <xf numFmtId="0" fontId="10" fillId="0" borderId="0" xfId="0" applyFont="1"/>
    <xf numFmtId="1" fontId="13" fillId="0" borderId="0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/>
    </xf>
    <xf numFmtId="1" fontId="0" fillId="0" borderId="10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 vertical="center"/>
    </xf>
    <xf numFmtId="1" fontId="7" fillId="0" borderId="0" xfId="1" applyNumberFormat="1" applyFont="1" applyFill="1" applyBorder="1" applyAlignment="1">
      <alignment horizontal="center"/>
    </xf>
    <xf numFmtId="1" fontId="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ill="1"/>
    <xf numFmtId="0" fontId="0" fillId="0" borderId="0" xfId="0" applyFill="1"/>
    <xf numFmtId="1" fontId="0" fillId="0" borderId="0" xfId="0" applyNumberFormat="1" applyFont="1"/>
    <xf numFmtId="0" fontId="0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Fill="1"/>
    <xf numFmtId="0" fontId="0" fillId="0" borderId="0" xfId="0" applyFont="1" applyFill="1"/>
    <xf numFmtId="164" fontId="16" fillId="0" borderId="0" xfId="2" applyNumberFormat="1" applyFont="1" applyFill="1" applyBorder="1" applyAlignment="1">
      <alignment horizontal="left" vertical="top" wrapText="1"/>
    </xf>
    <xf numFmtId="164" fontId="5" fillId="0" borderId="0" xfId="2" applyNumberFormat="1" applyFont="1" applyFill="1" applyBorder="1" applyAlignment="1">
      <alignment horizontal="left" vertical="top" wrapText="1"/>
    </xf>
    <xf numFmtId="164" fontId="17" fillId="0" borderId="0" xfId="2" applyNumberFormat="1" applyFont="1" applyFill="1" applyBorder="1" applyAlignment="1">
      <alignment horizontal="left" vertical="top" wrapText="1"/>
    </xf>
    <xf numFmtId="164" fontId="18" fillId="0" borderId="0" xfId="2" applyNumberFormat="1" applyFont="1" applyFill="1" applyBorder="1" applyAlignment="1">
      <alignment horizontal="left" vertical="top" wrapText="1"/>
    </xf>
    <xf numFmtId="0" fontId="19" fillId="0" borderId="0" xfId="2" applyFont="1" applyFill="1" applyBorder="1" applyAlignment="1">
      <alignment horizontal="left" vertical="top" wrapText="1"/>
    </xf>
    <xf numFmtId="164" fontId="15" fillId="0" borderId="0" xfId="2" applyNumberFormat="1" applyFont="1" applyFill="1" applyBorder="1" applyAlignment="1">
      <alignment horizontal="center" vertical="top" wrapText="1"/>
    </xf>
    <xf numFmtId="1" fontId="9" fillId="0" borderId="8" xfId="0" applyNumberFormat="1" applyFont="1" applyBorder="1" applyAlignment="1">
      <alignment horizontal="center"/>
    </xf>
    <xf numFmtId="1" fontId="15" fillId="2" borderId="13" xfId="0" applyNumberFormat="1" applyFont="1" applyFill="1" applyBorder="1" applyAlignment="1">
      <alignment horizontal="center" vertical="center"/>
    </xf>
    <xf numFmtId="2" fontId="0" fillId="0" borderId="0" xfId="0" applyNumberFormat="1" applyFont="1"/>
    <xf numFmtId="165" fontId="0" fillId="3" borderId="13" xfId="0" applyNumberFormat="1" applyFont="1" applyFill="1" applyBorder="1"/>
    <xf numFmtId="165" fontId="0" fillId="3" borderId="13" xfId="0" applyNumberFormat="1" applyFont="1" applyFill="1" applyBorder="1" applyAlignment="1">
      <alignment horizontal="center" vertical="center"/>
    </xf>
    <xf numFmtId="165" fontId="0" fillId="4" borderId="13" xfId="0" applyNumberFormat="1" applyFont="1" applyFill="1" applyBorder="1"/>
    <xf numFmtId="165" fontId="0" fillId="4" borderId="13" xfId="0" applyNumberFormat="1" applyFont="1" applyFill="1" applyBorder="1" applyAlignment="1">
      <alignment horizontal="center" vertical="center"/>
    </xf>
    <xf numFmtId="1" fontId="9" fillId="0" borderId="0" xfId="0" applyNumberFormat="1" applyFont="1" applyBorder="1" applyAlignment="1">
      <alignment horizontal="center"/>
    </xf>
    <xf numFmtId="1" fontId="7" fillId="0" borderId="2" xfId="1" applyNumberFormat="1" applyFont="1" applyBorder="1" applyAlignment="1">
      <alignment horizontal="right"/>
    </xf>
    <xf numFmtId="1" fontId="7" fillId="0" borderId="7" xfId="1" applyNumberFormat="1" applyFont="1" applyBorder="1" applyAlignment="1">
      <alignment horizontal="right"/>
    </xf>
    <xf numFmtId="1" fontId="11" fillId="0" borderId="2" xfId="1" applyNumberFormat="1" applyFont="1" applyBorder="1" applyAlignment="1">
      <alignment horizontal="center" vertical="center"/>
    </xf>
    <xf numFmtId="1" fontId="7" fillId="0" borderId="2" xfId="1" applyNumberFormat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center" vertical="center"/>
    </xf>
    <xf numFmtId="1" fontId="9" fillId="0" borderId="6" xfId="0" applyNumberFormat="1" applyFont="1" applyBorder="1" applyAlignment="1">
      <alignment horizontal="center"/>
    </xf>
    <xf numFmtId="1" fontId="27" fillId="0" borderId="10" xfId="0" applyNumberFormat="1" applyFont="1" applyBorder="1"/>
    <xf numFmtId="1" fontId="12" fillId="0" borderId="11" xfId="0" applyNumberFormat="1" applyFont="1" applyBorder="1" applyAlignment="1">
      <alignment horizontal="center" vertical="center"/>
    </xf>
    <xf numFmtId="1" fontId="8" fillId="0" borderId="11" xfId="0" applyNumberFormat="1" applyFont="1" applyBorder="1" applyAlignment="1">
      <alignment horizontal="center" vertical="center"/>
    </xf>
    <xf numFmtId="1" fontId="5" fillId="0" borderId="12" xfId="0" applyNumberFormat="1" applyFont="1" applyBorder="1"/>
    <xf numFmtId="1" fontId="27" fillId="0" borderId="11" xfId="0" applyNumberFormat="1" applyFont="1" applyBorder="1"/>
    <xf numFmtId="1" fontId="5" fillId="0" borderId="10" xfId="0" applyNumberFormat="1" applyFont="1" applyBorder="1"/>
    <xf numFmtId="1" fontId="5" fillId="0" borderId="11" xfId="0" applyNumberFormat="1" applyFont="1" applyBorder="1"/>
    <xf numFmtId="1" fontId="9" fillId="0" borderId="3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1" fontId="9" fillId="0" borderId="5" xfId="0" applyNumberFormat="1" applyFont="1" applyBorder="1" applyAlignment="1">
      <alignment horizontal="center"/>
    </xf>
    <xf numFmtId="1" fontId="15" fillId="2" borderId="20" xfId="0" applyNumberFormat="1" applyFont="1" applyFill="1" applyBorder="1" applyAlignment="1">
      <alignment horizontal="center" vertical="center"/>
    </xf>
    <xf numFmtId="165" fontId="0" fillId="3" borderId="20" xfId="0" applyNumberFormat="1" applyFont="1" applyFill="1" applyBorder="1" applyAlignment="1">
      <alignment horizontal="center" vertical="center"/>
    </xf>
    <xf numFmtId="165" fontId="0" fillId="4" borderId="20" xfId="0" applyNumberFormat="1" applyFont="1" applyFill="1" applyBorder="1" applyAlignment="1">
      <alignment horizontal="center" vertical="center"/>
    </xf>
    <xf numFmtId="165" fontId="0" fillId="5" borderId="22" xfId="0" applyNumberFormat="1" applyFont="1" applyFill="1" applyBorder="1" applyAlignment="1">
      <alignment vertical="center"/>
    </xf>
    <xf numFmtId="165" fontId="0" fillId="5" borderId="22" xfId="0" applyNumberFormat="1" applyFont="1" applyFill="1" applyBorder="1" applyAlignment="1">
      <alignment horizontal="center" vertical="center"/>
    </xf>
    <xf numFmtId="165" fontId="0" fillId="5" borderId="23" xfId="0" applyNumberFormat="1" applyFont="1" applyFill="1" applyBorder="1" applyAlignment="1">
      <alignment horizontal="center" vertical="center"/>
    </xf>
    <xf numFmtId="1" fontId="13" fillId="0" borderId="5" xfId="0" applyNumberFormat="1" applyFont="1" applyBorder="1" applyAlignment="1">
      <alignment horizontal="center" vertical="center"/>
    </xf>
    <xf numFmtId="1" fontId="9" fillId="0" borderId="5" xfId="0" applyNumberFormat="1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" fontId="1" fillId="0" borderId="0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1" fillId="0" borderId="5" xfId="0" applyNumberFormat="1" applyFont="1" applyBorder="1"/>
    <xf numFmtId="1" fontId="0" fillId="0" borderId="5" xfId="0" applyNumberFormat="1" applyBorder="1"/>
    <xf numFmtId="1" fontId="0" fillId="0" borderId="7" xfId="0" applyNumberFormat="1" applyFont="1" applyFill="1" applyBorder="1" applyAlignment="1">
      <alignment horizontal="center" vertical="center"/>
    </xf>
    <xf numFmtId="1" fontId="0" fillId="0" borderId="2" xfId="0" applyNumberFormat="1" applyFont="1" applyFill="1" applyBorder="1" applyAlignment="1">
      <alignment horizontal="center" vertical="center"/>
    </xf>
    <xf numFmtId="1" fontId="0" fillId="0" borderId="2" xfId="0" applyNumberFormat="1" applyFont="1" applyFill="1" applyBorder="1"/>
    <xf numFmtId="1" fontId="10" fillId="0" borderId="2" xfId="0" applyNumberFormat="1" applyFont="1" applyFill="1" applyBorder="1" applyAlignment="1">
      <alignment horizontal="center" vertical="center"/>
    </xf>
    <xf numFmtId="1" fontId="0" fillId="0" borderId="3" xfId="0" applyNumberFormat="1" applyFont="1" applyFill="1" applyBorder="1"/>
    <xf numFmtId="1" fontId="1" fillId="0" borderId="4" xfId="0" applyNumberFormat="1" applyFont="1" applyBorder="1"/>
    <xf numFmtId="1" fontId="1" fillId="0" borderId="6" xfId="0" applyNumberFormat="1" applyFont="1" applyBorder="1"/>
    <xf numFmtId="1" fontId="24" fillId="0" borderId="17" xfId="0" applyNumberFormat="1" applyFont="1" applyBorder="1" applyAlignment="1">
      <alignment horizontal="center" vertical="center"/>
    </xf>
    <xf numFmtId="1" fontId="25" fillId="0" borderId="17" xfId="0" applyNumberFormat="1" applyFont="1" applyBorder="1" applyAlignment="1">
      <alignment horizontal="center"/>
    </xf>
    <xf numFmtId="1" fontId="25" fillId="0" borderId="18" xfId="0" applyNumberFormat="1" applyFont="1" applyBorder="1" applyAlignment="1">
      <alignment horizontal="center"/>
    </xf>
    <xf numFmtId="1" fontId="0" fillId="2" borderId="19" xfId="0" applyNumberFormat="1" applyFont="1" applyFill="1" applyBorder="1" applyAlignment="1">
      <alignment horizontal="center" vertical="center"/>
    </xf>
    <xf numFmtId="1" fontId="0" fillId="2" borderId="13" xfId="0" applyNumberFormat="1" applyFont="1" applyFill="1" applyBorder="1" applyAlignment="1">
      <alignment horizontal="center" vertical="center"/>
    </xf>
    <xf numFmtId="1" fontId="26" fillId="3" borderId="19" xfId="0" applyNumberFormat="1" applyFont="1" applyFill="1" applyBorder="1" applyAlignment="1">
      <alignment horizontal="center" vertical="center"/>
    </xf>
    <xf numFmtId="1" fontId="26" fillId="3" borderId="13" xfId="0" applyNumberFormat="1" applyFont="1" applyFill="1" applyBorder="1" applyAlignment="1">
      <alignment horizontal="center" vertical="center"/>
    </xf>
    <xf numFmtId="1" fontId="26" fillId="4" borderId="19" xfId="0" applyNumberFormat="1" applyFont="1" applyFill="1" applyBorder="1" applyAlignment="1">
      <alignment horizontal="center" vertical="center"/>
    </xf>
    <xf numFmtId="1" fontId="26" fillId="4" borderId="13" xfId="0" applyNumberFormat="1" applyFont="1" applyFill="1" applyBorder="1" applyAlignment="1">
      <alignment horizontal="center" vertical="center"/>
    </xf>
    <xf numFmtId="1" fontId="26" fillId="5" borderId="21" xfId="0" applyNumberFormat="1" applyFont="1" applyFill="1" applyBorder="1" applyAlignment="1">
      <alignment horizontal="center" vertical="center"/>
    </xf>
    <xf numFmtId="1" fontId="26" fillId="5" borderId="22" xfId="0" applyNumberFormat="1" applyFont="1" applyFill="1" applyBorder="1" applyAlignment="1">
      <alignment horizontal="center" vertical="center"/>
    </xf>
    <xf numFmtId="1" fontId="10" fillId="6" borderId="16" xfId="0" applyNumberFormat="1" applyFont="1" applyFill="1" applyBorder="1" applyAlignment="1">
      <alignment horizontal="center" vertical="center"/>
    </xf>
    <xf numFmtId="1" fontId="10" fillId="6" borderId="17" xfId="0" applyNumberFormat="1" applyFont="1" applyFill="1" applyBorder="1" applyAlignment="1">
      <alignment horizontal="center" vertical="center"/>
    </xf>
    <xf numFmtId="1" fontId="13" fillId="0" borderId="2" xfId="0" applyNumberFormat="1" applyFont="1" applyBorder="1" applyAlignment="1">
      <alignment horizontal="center" vertical="center"/>
    </xf>
    <xf numFmtId="1" fontId="32" fillId="0" borderId="2" xfId="0" applyNumberFormat="1" applyFont="1" applyBorder="1" applyAlignment="1">
      <alignment horizontal="center" vertical="center"/>
    </xf>
    <xf numFmtId="1" fontId="32" fillId="0" borderId="0" xfId="0" applyNumberFormat="1" applyFont="1" applyBorder="1" applyAlignment="1">
      <alignment horizontal="center" vertical="center"/>
    </xf>
    <xf numFmtId="1" fontId="32" fillId="0" borderId="5" xfId="0" applyNumberFormat="1" applyFont="1" applyBorder="1" applyAlignment="1">
      <alignment horizontal="center" vertical="center"/>
    </xf>
    <xf numFmtId="1" fontId="38" fillId="0" borderId="0" xfId="0" applyNumberFormat="1" applyFont="1" applyBorder="1" applyAlignment="1">
      <alignment horizontal="center" vertical="center"/>
    </xf>
    <xf numFmtId="1" fontId="9" fillId="0" borderId="0" xfId="0" applyNumberFormat="1" applyFont="1" applyBorder="1"/>
    <xf numFmtId="1" fontId="9" fillId="0" borderId="8" xfId="0" applyNumberFormat="1" applyFont="1" applyBorder="1"/>
    <xf numFmtId="1" fontId="9" fillId="0" borderId="4" xfId="0" applyNumberFormat="1" applyFont="1" applyBorder="1"/>
    <xf numFmtId="1" fontId="9" fillId="0" borderId="0" xfId="0" applyNumberFormat="1" applyFont="1"/>
    <xf numFmtId="1" fontId="9" fillId="0" borderId="0" xfId="0" applyNumberFormat="1" applyFont="1" applyBorder="1" applyAlignment="1">
      <alignment horizontal="left"/>
    </xf>
    <xf numFmtId="1" fontId="9" fillId="0" borderId="9" xfId="0" applyNumberFormat="1" applyFont="1" applyBorder="1"/>
    <xf numFmtId="1" fontId="9" fillId="0" borderId="6" xfId="0" applyNumberFormat="1" applyFont="1" applyBorder="1"/>
    <xf numFmtId="1" fontId="9" fillId="0" borderId="5" xfId="0" applyNumberFormat="1" applyFont="1" applyBorder="1"/>
    <xf numFmtId="1" fontId="28" fillId="0" borderId="7" xfId="2" applyNumberFormat="1" applyFont="1" applyFill="1" applyBorder="1" applyAlignment="1">
      <alignment horizontal="center" vertical="top" wrapText="1"/>
    </xf>
    <xf numFmtId="1" fontId="31" fillId="0" borderId="2" xfId="14" applyNumberFormat="1" applyFont="1" applyBorder="1"/>
    <xf numFmtId="1" fontId="33" fillId="0" borderId="7" xfId="14" applyNumberFormat="1" applyFont="1" applyBorder="1"/>
    <xf numFmtId="1" fontId="34" fillId="0" borderId="0" xfId="2" applyNumberFormat="1" applyFont="1" applyFill="1" applyBorder="1" applyAlignment="1">
      <alignment horizontal="left" vertical="top" wrapText="1"/>
    </xf>
    <xf numFmtId="1" fontId="35" fillId="7" borderId="13" xfId="0" applyNumberFormat="1" applyFont="1" applyFill="1" applyBorder="1" applyAlignment="1">
      <alignment horizontal="center" vertical="center" wrapText="1"/>
    </xf>
    <xf numFmtId="1" fontId="9" fillId="7" borderId="13" xfId="0" applyNumberFormat="1" applyFont="1" applyFill="1" applyBorder="1"/>
    <xf numFmtId="1" fontId="28" fillId="0" borderId="8" xfId="2" applyNumberFormat="1" applyFont="1" applyFill="1" applyBorder="1" applyAlignment="1">
      <alignment horizontal="center" vertical="top" wrapText="1"/>
    </xf>
    <xf numFmtId="1" fontId="31" fillId="0" borderId="0" xfId="14" applyNumberFormat="1" applyFont="1" applyBorder="1"/>
    <xf numFmtId="1" fontId="33" fillId="0" borderId="8" xfId="14" applyNumberFormat="1" applyFont="1" applyBorder="1"/>
    <xf numFmtId="1" fontId="28" fillId="0" borderId="9" xfId="2" applyNumberFormat="1" applyFont="1" applyFill="1" applyBorder="1" applyAlignment="1">
      <alignment horizontal="center" vertical="top" wrapText="1"/>
    </xf>
    <xf numFmtId="1" fontId="31" fillId="0" borderId="5" xfId="14" applyNumberFormat="1" applyFont="1" applyBorder="1"/>
    <xf numFmtId="1" fontId="33" fillId="0" borderId="9" xfId="14" applyNumberFormat="1" applyFont="1" applyBorder="1"/>
    <xf numFmtId="1" fontId="28" fillId="0" borderId="2" xfId="2" applyNumberFormat="1" applyFont="1" applyFill="1" applyBorder="1" applyAlignment="1">
      <alignment horizontal="center" vertical="top" wrapText="1"/>
    </xf>
    <xf numFmtId="1" fontId="35" fillId="5" borderId="13" xfId="0" applyNumberFormat="1" applyFont="1" applyFill="1" applyBorder="1" applyAlignment="1">
      <alignment horizontal="center" vertical="center" wrapText="1"/>
    </xf>
    <xf numFmtId="1" fontId="9" fillId="5" borderId="13" xfId="0" applyNumberFormat="1" applyFont="1" applyFill="1" applyBorder="1"/>
    <xf numFmtId="1" fontId="36" fillId="0" borderId="1" xfId="2" applyNumberFormat="1" applyFont="1" applyFill="1" applyBorder="1" applyAlignment="1">
      <alignment horizontal="left" vertical="top" wrapText="1"/>
    </xf>
    <xf numFmtId="1" fontId="28" fillId="0" borderId="0" xfId="2" applyNumberFormat="1" applyFont="1" applyFill="1" applyBorder="1" applyAlignment="1">
      <alignment horizontal="center" vertical="top" wrapText="1"/>
    </xf>
    <xf numFmtId="1" fontId="9" fillId="0" borderId="0" xfId="2" applyNumberFormat="1" applyFont="1" applyFill="1" applyBorder="1" applyAlignment="1">
      <alignment horizontal="center" vertical="top" wrapText="1"/>
    </xf>
    <xf numFmtId="1" fontId="35" fillId="8" borderId="13" xfId="0" applyNumberFormat="1" applyFont="1" applyFill="1" applyBorder="1" applyAlignment="1">
      <alignment horizontal="center" vertical="center" wrapText="1"/>
    </xf>
    <xf numFmtId="1" fontId="37" fillId="0" borderId="1" xfId="2" applyNumberFormat="1" applyFont="1" applyFill="1" applyBorder="1" applyAlignment="1">
      <alignment horizontal="left" vertical="top" wrapText="1"/>
    </xf>
    <xf numFmtId="1" fontId="35" fillId="8" borderId="14" xfId="0" applyNumberFormat="1" applyFont="1" applyFill="1" applyBorder="1" applyAlignment="1">
      <alignment horizontal="center" vertical="center" wrapText="1"/>
    </xf>
    <xf numFmtId="1" fontId="35" fillId="8" borderId="15" xfId="0" applyNumberFormat="1" applyFont="1" applyFill="1" applyBorder="1" applyAlignment="1">
      <alignment horizontal="center" vertical="center" wrapText="1"/>
    </xf>
    <xf numFmtId="1" fontId="39" fillId="0" borderId="0" xfId="2" applyNumberFormat="1" applyFont="1" applyFill="1" applyBorder="1" applyAlignment="1">
      <alignment horizontal="left" vertical="top" wrapText="1"/>
    </xf>
    <xf numFmtId="1" fontId="40" fillId="0" borderId="0" xfId="2" applyNumberFormat="1" applyFont="1" applyFill="1" applyBorder="1" applyAlignment="1">
      <alignment horizontal="left" vertical="top" wrapText="1"/>
    </xf>
    <xf numFmtId="1" fontId="3" fillId="9" borderId="7" xfId="0" applyNumberFormat="1" applyFont="1" applyFill="1" applyBorder="1" applyAlignment="1">
      <alignment horizontal="center" vertical="center"/>
    </xf>
    <xf numFmtId="1" fontId="30" fillId="9" borderId="2" xfId="0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1" fontId="10" fillId="9" borderId="2" xfId="0" applyNumberFormat="1" applyFont="1" applyFill="1" applyBorder="1" applyAlignment="1">
      <alignment horizontal="center" vertical="center"/>
    </xf>
    <xf numFmtId="1" fontId="3" fillId="9" borderId="8" xfId="0" applyNumberFormat="1" applyFont="1" applyFill="1" applyBorder="1" applyAlignment="1">
      <alignment horizontal="center" vertical="center"/>
    </xf>
    <xf numFmtId="1" fontId="10" fillId="9" borderId="0" xfId="0" applyNumberFormat="1" applyFont="1" applyFill="1" applyBorder="1" applyAlignment="1">
      <alignment horizontal="center" vertical="center"/>
    </xf>
    <xf numFmtId="1" fontId="3" fillId="9" borderId="9" xfId="0" applyNumberFormat="1" applyFont="1" applyFill="1" applyBorder="1" applyAlignment="1">
      <alignment horizontal="center" vertical="center"/>
    </xf>
    <xf numFmtId="1" fontId="1" fillId="9" borderId="5" xfId="0" applyNumberFormat="1" applyFont="1" applyFill="1" applyBorder="1"/>
    <xf numFmtId="1" fontId="0" fillId="9" borderId="5" xfId="0" applyNumberFormat="1" applyFill="1" applyBorder="1"/>
    <xf numFmtId="1" fontId="10" fillId="9" borderId="5" xfId="0" applyNumberFormat="1" applyFont="1" applyFill="1" applyBorder="1" applyAlignment="1">
      <alignment horizontal="center" vertical="center"/>
    </xf>
    <xf numFmtId="1" fontId="0" fillId="10" borderId="10" xfId="0" applyNumberFormat="1" applyFont="1" applyFill="1" applyBorder="1" applyAlignment="1">
      <alignment horizontal="center"/>
    </xf>
    <xf numFmtId="1" fontId="0" fillId="10" borderId="12" xfId="0" applyNumberFormat="1" applyFont="1" applyFill="1" applyBorder="1" applyAlignment="1">
      <alignment horizontal="center"/>
    </xf>
  </cellXfs>
  <cellStyles count="15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rmal 4" xfId="14" xr:uid="{00000000-0005-0000-0000-00003B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314617</xdr:colOff>
      <xdr:row>41</xdr:row>
      <xdr:rowOff>2758</xdr:rowOff>
    </xdr:from>
    <xdr:to>
      <xdr:col>32</xdr:col>
      <xdr:colOff>163285</xdr:colOff>
      <xdr:row>74</xdr:row>
      <xdr:rowOff>97202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005E019-C423-C86C-442E-045308A34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7" y="8194258"/>
          <a:ext cx="12081489" cy="6380944"/>
        </a:xfrm>
        <a:prstGeom prst="rect">
          <a:avLst/>
        </a:prstGeom>
      </xdr:spPr>
    </xdr:pic>
    <xdr:clientData/>
  </xdr:twoCellAnchor>
  <xdr:twoCellAnchor editAs="oneCell">
    <xdr:from>
      <xdr:col>1</xdr:col>
      <xdr:colOff>13607</xdr:colOff>
      <xdr:row>29</xdr:row>
      <xdr:rowOff>91592</xdr:rowOff>
    </xdr:from>
    <xdr:to>
      <xdr:col>17</xdr:col>
      <xdr:colOff>190500</xdr:colOff>
      <xdr:row>38</xdr:row>
      <xdr:rowOff>169143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CB5AD59-330C-C1CD-3737-7EA4E65B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997092"/>
          <a:ext cx="6340929" cy="17920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40"/>
  <sheetViews>
    <sheetView tabSelected="1" topLeftCell="C1" zoomScale="80" zoomScaleNormal="80" workbookViewId="0">
      <selection activeCell="AI25" sqref="AI25:AI26"/>
    </sheetView>
  </sheetViews>
  <sheetFormatPr defaultRowHeight="15" x14ac:dyDescent="0.25"/>
  <cols>
    <col min="1" max="1" width="5.5703125" customWidth="1"/>
    <col min="2" max="2" width="7" customWidth="1"/>
    <col min="3" max="3" width="5.5703125" style="17" customWidth="1"/>
    <col min="4" max="4" width="5.5703125" customWidth="1"/>
    <col min="5" max="5" width="5.5703125" style="17" customWidth="1"/>
    <col min="6" max="7" width="5.5703125" customWidth="1"/>
    <col min="8" max="8" width="6.85546875" customWidth="1"/>
    <col min="9" max="9" width="5.5703125" style="17" customWidth="1"/>
    <col min="10" max="10" width="5.5703125" customWidth="1"/>
    <col min="11" max="11" width="5.5703125" style="17" customWidth="1"/>
    <col min="12" max="13" width="5.5703125" customWidth="1"/>
    <col min="14" max="14" width="7" customWidth="1"/>
    <col min="15" max="15" width="5.5703125" style="17" customWidth="1"/>
    <col min="16" max="16" width="5.5703125" customWidth="1"/>
    <col min="17" max="17" width="5.5703125" style="17" customWidth="1"/>
    <col min="18" max="18" width="6.28515625" customWidth="1"/>
    <col min="19" max="19" width="6.7109375" customWidth="1"/>
    <col min="20" max="20" width="7" customWidth="1"/>
    <col min="21" max="21" width="5.5703125" style="17" customWidth="1"/>
    <col min="22" max="22" width="5.5703125" customWidth="1"/>
    <col min="23" max="23" width="5.5703125" style="17" customWidth="1"/>
    <col min="24" max="24" width="7" customWidth="1"/>
    <col min="25" max="25" width="5.5703125" customWidth="1"/>
    <col min="26" max="26" width="6.7109375" customWidth="1"/>
    <col min="27" max="31" width="5.5703125" customWidth="1"/>
    <col min="32" max="32" width="2.140625" customWidth="1"/>
    <col min="33" max="36" width="7.42578125" style="30" customWidth="1"/>
    <col min="37" max="38" width="9.140625" style="30"/>
  </cols>
  <sheetData>
    <row r="1" spans="1:37" ht="15.75" thickBot="1" x14ac:dyDescent="0.3">
      <c r="A1" s="1"/>
      <c r="B1" s="2"/>
      <c r="C1" s="15"/>
      <c r="D1" s="5"/>
      <c r="E1" s="15"/>
      <c r="F1" s="5"/>
      <c r="G1" s="3"/>
      <c r="H1" s="2"/>
      <c r="I1" s="15"/>
      <c r="J1" s="5"/>
      <c r="K1" s="15"/>
      <c r="L1" s="5"/>
      <c r="M1" s="3"/>
      <c r="N1" s="2"/>
      <c r="O1" s="15"/>
      <c r="P1" s="5"/>
      <c r="Q1" s="15"/>
      <c r="R1" s="5"/>
      <c r="S1" s="3"/>
      <c r="T1" s="2"/>
      <c r="U1" s="15"/>
      <c r="V1" s="5"/>
      <c r="W1" s="15"/>
      <c r="X1" s="5"/>
      <c r="Y1" s="3"/>
      <c r="Z1" s="3"/>
      <c r="AA1" s="3"/>
      <c r="AB1" s="3"/>
      <c r="AC1" s="3"/>
      <c r="AD1" s="3"/>
      <c r="AE1" s="3"/>
      <c r="AF1" s="2"/>
      <c r="AG1" s="29"/>
      <c r="AH1" s="29"/>
      <c r="AI1" s="29"/>
      <c r="AJ1" s="29"/>
      <c r="AK1" s="29"/>
    </row>
    <row r="2" spans="1:37" ht="15.75" thickBot="1" x14ac:dyDescent="0.3">
      <c r="A2" s="21"/>
      <c r="B2" s="49" t="s">
        <v>0</v>
      </c>
      <c r="C2" s="50"/>
      <c r="D2" s="51"/>
      <c r="E2" s="50"/>
      <c r="F2" s="51"/>
      <c r="G2" s="52"/>
      <c r="H2" s="48" t="s">
        <v>19</v>
      </c>
      <c r="I2" s="50"/>
      <c r="J2" s="51"/>
      <c r="K2" s="50"/>
      <c r="L2" s="51"/>
      <c r="M2" s="52"/>
      <c r="N2" s="48" t="s">
        <v>1</v>
      </c>
      <c r="O2" s="50"/>
      <c r="P2" s="51"/>
      <c r="Q2" s="50"/>
      <c r="R2" s="51"/>
      <c r="S2" s="52"/>
      <c r="T2" s="48" t="s">
        <v>2</v>
      </c>
      <c r="U2" s="50"/>
      <c r="V2" s="51"/>
      <c r="W2" s="50"/>
      <c r="X2" s="51"/>
      <c r="Y2" s="48"/>
      <c r="Z2" s="49" t="s">
        <v>18</v>
      </c>
      <c r="AA2" s="50"/>
      <c r="AB2" s="51"/>
      <c r="AC2" s="50"/>
      <c r="AD2" s="51"/>
      <c r="AE2" s="52"/>
      <c r="AF2" s="2"/>
      <c r="AG2" s="39" t="s">
        <v>0</v>
      </c>
      <c r="AH2" s="39" t="s">
        <v>21</v>
      </c>
      <c r="AI2" s="39" t="s">
        <v>1</v>
      </c>
      <c r="AJ2" s="39" t="s">
        <v>2</v>
      </c>
      <c r="AK2" s="34"/>
    </row>
    <row r="3" spans="1:37" s="9" customFormat="1" ht="12.75" thickBot="1" x14ac:dyDescent="0.25">
      <c r="A3" s="20"/>
      <c r="B3" s="55" t="s">
        <v>4</v>
      </c>
      <c r="C3" s="56" t="s">
        <v>11</v>
      </c>
      <c r="D3" s="57" t="s">
        <v>12</v>
      </c>
      <c r="E3" s="56" t="s">
        <v>13</v>
      </c>
      <c r="F3" s="57" t="s">
        <v>15</v>
      </c>
      <c r="G3" s="58" t="s">
        <v>16</v>
      </c>
      <c r="H3" s="59" t="s">
        <v>4</v>
      </c>
      <c r="I3" s="56" t="s">
        <v>11</v>
      </c>
      <c r="J3" s="57" t="s">
        <v>12</v>
      </c>
      <c r="K3" s="56" t="s">
        <v>13</v>
      </c>
      <c r="L3" s="57" t="s">
        <v>15</v>
      </c>
      <c r="M3" s="58" t="s">
        <v>17</v>
      </c>
      <c r="N3" s="55" t="s">
        <v>4</v>
      </c>
      <c r="O3" s="56" t="s">
        <v>11</v>
      </c>
      <c r="P3" s="57" t="s">
        <v>12</v>
      </c>
      <c r="Q3" s="56" t="s">
        <v>13</v>
      </c>
      <c r="R3" s="57" t="s">
        <v>3</v>
      </c>
      <c r="S3" s="58" t="s">
        <v>16</v>
      </c>
      <c r="T3" s="60" t="s">
        <v>4</v>
      </c>
      <c r="U3" s="56" t="s">
        <v>11</v>
      </c>
      <c r="V3" s="57" t="s">
        <v>12</v>
      </c>
      <c r="W3" s="56" t="s">
        <v>14</v>
      </c>
      <c r="X3" s="57" t="s">
        <v>15</v>
      </c>
      <c r="Y3" s="61" t="s">
        <v>16</v>
      </c>
      <c r="Z3" s="60" t="s">
        <v>4</v>
      </c>
      <c r="AA3" s="56" t="s">
        <v>11</v>
      </c>
      <c r="AB3" s="57" t="s">
        <v>12</v>
      </c>
      <c r="AC3" s="56" t="s">
        <v>14</v>
      </c>
      <c r="AD3" s="57" t="s">
        <v>15</v>
      </c>
      <c r="AE3" s="58" t="s">
        <v>16</v>
      </c>
      <c r="AF3" s="8"/>
      <c r="AG3" s="35"/>
      <c r="AH3" s="35"/>
      <c r="AI3" s="35"/>
      <c r="AJ3" s="35"/>
      <c r="AK3" s="35"/>
    </row>
    <row r="4" spans="1:37" x14ac:dyDescent="0.25">
      <c r="A4" s="13">
        <v>1</v>
      </c>
      <c r="B4" s="112">
        <f>AG4+$M$24</f>
        <v>8283.0499999999993</v>
      </c>
      <c r="C4" s="113"/>
      <c r="D4" s="113"/>
      <c r="E4" s="99">
        <f>C4-B4</f>
        <v>-8283.0499999999993</v>
      </c>
      <c r="F4" s="100">
        <f>D4-B4</f>
        <v>-8283.0499999999993</v>
      </c>
      <c r="G4" s="62">
        <f>C4-D4</f>
        <v>0</v>
      </c>
      <c r="H4" s="112">
        <f>AH4+$M$24</f>
        <v>8240.4500000000007</v>
      </c>
      <c r="I4" s="113"/>
      <c r="J4" s="113"/>
      <c r="K4" s="99">
        <f>I4-H4</f>
        <v>-8240.4500000000007</v>
      </c>
      <c r="L4" s="100">
        <f>J4-H4</f>
        <v>-8240.4500000000007</v>
      </c>
      <c r="M4" s="63">
        <f>I4-J4</f>
        <v>0</v>
      </c>
      <c r="N4" s="112">
        <f>AI4+$M$24</f>
        <v>8297.9500000000007</v>
      </c>
      <c r="O4" s="113"/>
      <c r="P4" s="113"/>
      <c r="Q4" s="99">
        <f>O4-N4</f>
        <v>-8297.9500000000007</v>
      </c>
      <c r="R4" s="100">
        <f>P4-N4</f>
        <v>-8297.9500000000007</v>
      </c>
      <c r="S4" s="62">
        <f>O4-P4</f>
        <v>0</v>
      </c>
      <c r="T4" s="112">
        <f>AJ4+$M$24</f>
        <v>8370.75</v>
      </c>
      <c r="U4" s="113"/>
      <c r="V4" s="113"/>
      <c r="W4" s="99">
        <f>U4-T4</f>
        <v>-8370.75</v>
      </c>
      <c r="X4" s="100">
        <f>V4-T4</f>
        <v>-8370.75</v>
      </c>
      <c r="Y4" s="63">
        <f>U4-V4</f>
        <v>0</v>
      </c>
      <c r="Z4" s="114">
        <v>8537.85</v>
      </c>
      <c r="AA4" s="113"/>
      <c r="AB4" s="113"/>
      <c r="AC4" s="99">
        <f>AA4-Z4</f>
        <v>-8537.85</v>
      </c>
      <c r="AD4" s="100">
        <f>AB4-Z4</f>
        <v>-8537.85</v>
      </c>
      <c r="AE4" s="62">
        <f>AA4-AB4</f>
        <v>0</v>
      </c>
      <c r="AF4" s="115"/>
      <c r="AG4" s="116">
        <v>8283.0499999999993</v>
      </c>
      <c r="AH4" s="117">
        <v>8240.4500000000007</v>
      </c>
      <c r="AI4" s="116">
        <v>8297.9500000000007</v>
      </c>
      <c r="AJ4" s="117">
        <v>8370.75</v>
      </c>
      <c r="AK4" s="36"/>
    </row>
    <row r="5" spans="1:37" x14ac:dyDescent="0.25">
      <c r="A5" s="13">
        <v>2</v>
      </c>
      <c r="B5" s="118">
        <f t="shared" ref="B5:B19" si="0">AG5+$M$24</f>
        <v>8146.5</v>
      </c>
      <c r="C5" s="119"/>
      <c r="D5" s="119"/>
      <c r="E5" s="18">
        <f t="shared" ref="E5:E19" si="1">C5-B5</f>
        <v>-8146.5</v>
      </c>
      <c r="F5" s="101">
        <f t="shared" ref="F5:F19" si="2">D5-B5</f>
        <v>-8146.5</v>
      </c>
      <c r="G5" s="12">
        <f t="shared" ref="G5:G19" si="3">C5-D5</f>
        <v>0</v>
      </c>
      <c r="H5" s="118">
        <f t="shared" ref="H5:H12" si="4">AH5+$M$24</f>
        <v>8100.9</v>
      </c>
      <c r="I5" s="119"/>
      <c r="J5" s="119"/>
      <c r="K5" s="18">
        <f t="shared" ref="K5:K12" si="5">I5-H5</f>
        <v>-8100.9</v>
      </c>
      <c r="L5" s="101">
        <f t="shared" ref="L5:L12" si="6">J5-H5</f>
        <v>-8100.9</v>
      </c>
      <c r="M5" s="47">
        <f t="shared" ref="M5:M12" si="7">I5-J5</f>
        <v>0</v>
      </c>
      <c r="N5" s="118">
        <f t="shared" ref="N5:N19" si="8">AI5+$M$24</f>
        <v>8143.15</v>
      </c>
      <c r="O5" s="119"/>
      <c r="P5" s="119"/>
      <c r="Q5" s="18">
        <f t="shared" ref="Q5:Q19" si="9">O5-N5</f>
        <v>-8143.15</v>
      </c>
      <c r="R5" s="101">
        <f t="shared" ref="R5:R19" si="10">P5-N5</f>
        <v>-8143.15</v>
      </c>
      <c r="S5" s="12">
        <f t="shared" ref="S5:S19" si="11">O5-P5</f>
        <v>0</v>
      </c>
      <c r="T5" s="118">
        <f t="shared" ref="T5:T7" si="12">AJ5+$M$24</f>
        <v>8219.25</v>
      </c>
      <c r="U5" s="119"/>
      <c r="V5" s="119"/>
      <c r="W5" s="18">
        <f t="shared" ref="W5:W7" si="13">U5-T5</f>
        <v>-8219.25</v>
      </c>
      <c r="X5" s="101">
        <f t="shared" ref="X5:X7" si="14">V5-T5</f>
        <v>-8219.25</v>
      </c>
      <c r="Y5" s="47">
        <f t="shared" ref="Y5:Y7" si="15">U5-V5</f>
        <v>0</v>
      </c>
      <c r="Z5" s="120">
        <v>8306.7000000000007</v>
      </c>
      <c r="AA5" s="119"/>
      <c r="AB5" s="119"/>
      <c r="AC5" s="18">
        <f t="shared" ref="AC5:AC16" si="16">AA5-Z5</f>
        <v>-8306.7000000000007</v>
      </c>
      <c r="AD5" s="101">
        <f t="shared" ref="AD5:AD16" si="17">AB5-Z5</f>
        <v>-8306.7000000000007</v>
      </c>
      <c r="AE5" s="12">
        <f t="shared" ref="AE5:AE16" si="18">AA5-AB5</f>
        <v>0</v>
      </c>
      <c r="AF5" s="115"/>
      <c r="AG5" s="116">
        <v>8146.5</v>
      </c>
      <c r="AH5" s="117">
        <v>8100.9</v>
      </c>
      <c r="AI5" s="116">
        <v>8143.15</v>
      </c>
      <c r="AJ5" s="117">
        <v>8219.25</v>
      </c>
      <c r="AK5" s="36"/>
    </row>
    <row r="6" spans="1:37" x14ac:dyDescent="0.25">
      <c r="A6" s="13">
        <v>3</v>
      </c>
      <c r="B6" s="118">
        <f t="shared" si="0"/>
        <v>8109.2</v>
      </c>
      <c r="C6" s="119"/>
      <c r="D6" s="119"/>
      <c r="E6" s="18">
        <f t="shared" si="1"/>
        <v>-8109.2</v>
      </c>
      <c r="F6" s="101">
        <f t="shared" si="2"/>
        <v>-8109.2</v>
      </c>
      <c r="G6" s="12">
        <f t="shared" si="3"/>
        <v>0</v>
      </c>
      <c r="H6" s="118">
        <f t="shared" si="4"/>
        <v>8066.3</v>
      </c>
      <c r="I6" s="119"/>
      <c r="J6" s="119"/>
      <c r="K6" s="18">
        <f t="shared" si="5"/>
        <v>-8066.3</v>
      </c>
      <c r="L6" s="101">
        <f t="shared" si="6"/>
        <v>-8066.3</v>
      </c>
      <c r="M6" s="47">
        <f t="shared" si="7"/>
        <v>0</v>
      </c>
      <c r="N6" s="118">
        <f t="shared" si="8"/>
        <v>8080.35</v>
      </c>
      <c r="O6" s="119"/>
      <c r="P6" s="119"/>
      <c r="Q6" s="18">
        <f t="shared" si="9"/>
        <v>-8080.35</v>
      </c>
      <c r="R6" s="101">
        <f t="shared" si="10"/>
        <v>-8080.35</v>
      </c>
      <c r="S6" s="12">
        <f t="shared" si="11"/>
        <v>0</v>
      </c>
      <c r="T6" s="118">
        <f t="shared" si="12"/>
        <v>8157.9</v>
      </c>
      <c r="U6" s="119"/>
      <c r="V6" s="119"/>
      <c r="W6" s="18">
        <f t="shared" si="13"/>
        <v>-8157.9</v>
      </c>
      <c r="X6" s="101">
        <f t="shared" si="14"/>
        <v>-8157.9</v>
      </c>
      <c r="Y6" s="47">
        <f t="shared" si="15"/>
        <v>0</v>
      </c>
      <c r="Z6" s="120">
        <v>8189.25</v>
      </c>
      <c r="AA6" s="119"/>
      <c r="AB6" s="119"/>
      <c r="AC6" s="18">
        <f t="shared" si="16"/>
        <v>-8189.25</v>
      </c>
      <c r="AD6" s="101">
        <f t="shared" si="17"/>
        <v>-8189.25</v>
      </c>
      <c r="AE6" s="12">
        <f t="shared" si="18"/>
        <v>0</v>
      </c>
      <c r="AF6" s="115"/>
      <c r="AG6" s="116">
        <v>8109.2</v>
      </c>
      <c r="AH6" s="117">
        <v>8066.3</v>
      </c>
      <c r="AI6" s="116">
        <v>8080.35</v>
      </c>
      <c r="AJ6" s="117">
        <v>8157.9</v>
      </c>
      <c r="AK6" s="37"/>
    </row>
    <row r="7" spans="1:37" ht="15.75" thickBot="1" x14ac:dyDescent="0.3">
      <c r="A7" s="13">
        <v>4</v>
      </c>
      <c r="B7" s="121">
        <f t="shared" si="0"/>
        <v>8186.25</v>
      </c>
      <c r="C7" s="122"/>
      <c r="D7" s="122"/>
      <c r="E7" s="71">
        <f t="shared" si="1"/>
        <v>-8186.25</v>
      </c>
      <c r="F7" s="102">
        <f t="shared" si="2"/>
        <v>-8186.25</v>
      </c>
      <c r="G7" s="54">
        <f t="shared" si="3"/>
        <v>0</v>
      </c>
      <c r="H7" s="118">
        <f t="shared" si="4"/>
        <v>8143.4</v>
      </c>
      <c r="I7" s="119"/>
      <c r="J7" s="119"/>
      <c r="K7" s="18">
        <f t="shared" si="5"/>
        <v>-8143.4</v>
      </c>
      <c r="L7" s="101">
        <f t="shared" si="6"/>
        <v>-8143.4</v>
      </c>
      <c r="M7" s="47">
        <f t="shared" si="7"/>
        <v>0</v>
      </c>
      <c r="N7" s="121">
        <f t="shared" si="8"/>
        <v>8110.75</v>
      </c>
      <c r="O7" s="122"/>
      <c r="P7" s="122"/>
      <c r="Q7" s="71">
        <f t="shared" si="9"/>
        <v>-8110.75</v>
      </c>
      <c r="R7" s="102">
        <f t="shared" si="10"/>
        <v>-8110.75</v>
      </c>
      <c r="S7" s="54">
        <f t="shared" si="11"/>
        <v>0</v>
      </c>
      <c r="T7" s="121">
        <f t="shared" si="12"/>
        <v>8179.45</v>
      </c>
      <c r="U7" s="122"/>
      <c r="V7" s="122"/>
      <c r="W7" s="71">
        <f t="shared" si="13"/>
        <v>-8179.45</v>
      </c>
      <c r="X7" s="102">
        <f t="shared" si="14"/>
        <v>-8179.45</v>
      </c>
      <c r="Y7" s="64">
        <f t="shared" si="15"/>
        <v>0</v>
      </c>
      <c r="Z7" s="123">
        <v>8183.65</v>
      </c>
      <c r="AA7" s="122"/>
      <c r="AB7" s="122"/>
      <c r="AC7" s="71">
        <f t="shared" si="16"/>
        <v>-8183.65</v>
      </c>
      <c r="AD7" s="102">
        <f t="shared" si="17"/>
        <v>-8183.65</v>
      </c>
      <c r="AE7" s="54">
        <f t="shared" si="18"/>
        <v>0</v>
      </c>
      <c r="AF7" s="115"/>
      <c r="AG7" s="116">
        <v>8186.25</v>
      </c>
      <c r="AH7" s="117">
        <v>8143.4</v>
      </c>
      <c r="AI7" s="116">
        <v>8110.75</v>
      </c>
      <c r="AJ7" s="117">
        <v>8179.45</v>
      </c>
      <c r="AK7" s="37"/>
    </row>
    <row r="8" spans="1:37" x14ac:dyDescent="0.25">
      <c r="A8" s="13">
        <v>5</v>
      </c>
      <c r="B8" s="112">
        <f t="shared" si="0"/>
        <v>8081.15</v>
      </c>
      <c r="C8" s="113"/>
      <c r="D8" s="113"/>
      <c r="E8" s="99">
        <f t="shared" si="1"/>
        <v>-8081.15</v>
      </c>
      <c r="F8" s="100">
        <f t="shared" si="2"/>
        <v>-8081.15</v>
      </c>
      <c r="G8" s="63">
        <f t="shared" si="3"/>
        <v>0</v>
      </c>
      <c r="H8" s="112">
        <f t="shared" si="4"/>
        <v>8046.85</v>
      </c>
      <c r="I8" s="113"/>
      <c r="J8" s="113"/>
      <c r="K8" s="99">
        <f t="shared" si="5"/>
        <v>-8046.85</v>
      </c>
      <c r="L8" s="100">
        <f t="shared" si="6"/>
        <v>-8046.85</v>
      </c>
      <c r="M8" s="62">
        <f t="shared" si="7"/>
        <v>0</v>
      </c>
      <c r="N8" s="124">
        <f t="shared" si="8"/>
        <v>8077.2999999999993</v>
      </c>
      <c r="O8" s="113"/>
      <c r="P8" s="113"/>
      <c r="Q8" s="99">
        <f t="shared" si="9"/>
        <v>-8077.2999999999993</v>
      </c>
      <c r="R8" s="100">
        <f t="shared" si="10"/>
        <v>-8077.2999999999993</v>
      </c>
      <c r="S8" s="62">
        <f t="shared" si="11"/>
        <v>0</v>
      </c>
      <c r="T8" s="112"/>
      <c r="U8" s="113"/>
      <c r="V8" s="113"/>
      <c r="W8" s="99"/>
      <c r="X8" s="100"/>
      <c r="Y8" s="63"/>
      <c r="Z8" s="114">
        <v>8014.4</v>
      </c>
      <c r="AA8" s="113"/>
      <c r="AB8" s="113"/>
      <c r="AC8" s="99">
        <f t="shared" si="16"/>
        <v>-8014.4</v>
      </c>
      <c r="AD8" s="100">
        <f t="shared" si="17"/>
        <v>-8014.4</v>
      </c>
      <c r="AE8" s="62">
        <f t="shared" si="18"/>
        <v>0</v>
      </c>
      <c r="AF8" s="115"/>
      <c r="AG8" s="125">
        <v>8081.15</v>
      </c>
      <c r="AH8" s="126">
        <v>8046.85</v>
      </c>
      <c r="AI8" s="125">
        <v>8077.2999999999993</v>
      </c>
      <c r="AJ8" s="127"/>
      <c r="AK8" s="37"/>
    </row>
    <row r="9" spans="1:37" x14ac:dyDescent="0.25">
      <c r="A9" s="13">
        <v>6</v>
      </c>
      <c r="B9" s="118">
        <f t="shared" si="0"/>
        <v>7919.25</v>
      </c>
      <c r="C9" s="119"/>
      <c r="D9" s="119"/>
      <c r="E9" s="18">
        <f t="shared" si="1"/>
        <v>-7919.25</v>
      </c>
      <c r="F9" s="101">
        <f t="shared" si="2"/>
        <v>-7919.25</v>
      </c>
      <c r="G9" s="47">
        <f t="shared" si="3"/>
        <v>0</v>
      </c>
      <c r="H9" s="118">
        <f t="shared" si="4"/>
        <v>7885.6</v>
      </c>
      <c r="I9" s="119"/>
      <c r="J9" s="119"/>
      <c r="K9" s="18">
        <f t="shared" si="5"/>
        <v>-7885.6</v>
      </c>
      <c r="L9" s="101">
        <f t="shared" si="6"/>
        <v>-7885.6</v>
      </c>
      <c r="M9" s="12">
        <f t="shared" si="7"/>
        <v>0</v>
      </c>
      <c r="N9" s="128">
        <f t="shared" si="8"/>
        <v>7919.75</v>
      </c>
      <c r="O9" s="119"/>
      <c r="P9" s="119"/>
      <c r="Q9" s="18">
        <f t="shared" si="9"/>
        <v>-7919.75</v>
      </c>
      <c r="R9" s="101">
        <f t="shared" si="10"/>
        <v>-7919.75</v>
      </c>
      <c r="S9" s="12">
        <f t="shared" si="11"/>
        <v>0</v>
      </c>
      <c r="T9" s="118"/>
      <c r="U9" s="119"/>
      <c r="V9" s="119"/>
      <c r="W9" s="18"/>
      <c r="X9" s="101"/>
      <c r="Y9" s="47"/>
      <c r="Z9" s="120">
        <v>7816.3</v>
      </c>
      <c r="AA9" s="119"/>
      <c r="AB9" s="119"/>
      <c r="AC9" s="18">
        <f t="shared" si="16"/>
        <v>-7816.3</v>
      </c>
      <c r="AD9" s="101">
        <f t="shared" si="17"/>
        <v>-7816.3</v>
      </c>
      <c r="AE9" s="12">
        <f t="shared" si="18"/>
        <v>0</v>
      </c>
      <c r="AF9" s="115"/>
      <c r="AG9" s="125">
        <v>7919.25</v>
      </c>
      <c r="AH9" s="126">
        <v>7885.6</v>
      </c>
      <c r="AI9" s="125">
        <v>7919.75</v>
      </c>
      <c r="AJ9" s="127"/>
      <c r="AK9" s="37"/>
    </row>
    <row r="10" spans="1:37" x14ac:dyDescent="0.25">
      <c r="A10" s="13">
        <v>7</v>
      </c>
      <c r="B10" s="118">
        <f t="shared" si="0"/>
        <v>7821.2000000000007</v>
      </c>
      <c r="C10" s="119"/>
      <c r="D10" s="119"/>
      <c r="E10" s="18">
        <f t="shared" si="1"/>
        <v>-7821.2000000000007</v>
      </c>
      <c r="F10" s="101">
        <f t="shared" si="2"/>
        <v>-7821.2000000000007</v>
      </c>
      <c r="G10" s="47">
        <f t="shared" si="3"/>
        <v>0</v>
      </c>
      <c r="H10" s="118">
        <f t="shared" si="4"/>
        <v>7789.75</v>
      </c>
      <c r="I10" s="119"/>
      <c r="J10" s="119"/>
      <c r="K10" s="18">
        <f t="shared" si="5"/>
        <v>-7789.75</v>
      </c>
      <c r="L10" s="101">
        <f t="shared" si="6"/>
        <v>-7789.75</v>
      </c>
      <c r="M10" s="12">
        <f t="shared" si="7"/>
        <v>0</v>
      </c>
      <c r="N10" s="128">
        <f t="shared" si="8"/>
        <v>7824.85</v>
      </c>
      <c r="O10" s="119"/>
      <c r="P10" s="119"/>
      <c r="Q10" s="18">
        <f t="shared" si="9"/>
        <v>-7824.85</v>
      </c>
      <c r="R10" s="101">
        <f t="shared" si="10"/>
        <v>-7824.85</v>
      </c>
      <c r="S10" s="12">
        <f t="shared" si="11"/>
        <v>0</v>
      </c>
      <c r="T10" s="118"/>
      <c r="U10" s="119"/>
      <c r="V10" s="119"/>
      <c r="W10" s="18"/>
      <c r="X10" s="101"/>
      <c r="Y10" s="47"/>
      <c r="Z10" s="120">
        <v>7724.5</v>
      </c>
      <c r="AA10" s="119"/>
      <c r="AB10" s="119"/>
      <c r="AC10" s="18">
        <f t="shared" si="16"/>
        <v>-7724.5</v>
      </c>
      <c r="AD10" s="101">
        <f t="shared" si="17"/>
        <v>-7724.5</v>
      </c>
      <c r="AE10" s="12">
        <f t="shared" si="18"/>
        <v>0</v>
      </c>
      <c r="AF10" s="115"/>
      <c r="AG10" s="125">
        <v>7821.2000000000007</v>
      </c>
      <c r="AH10" s="126">
        <v>7789.75</v>
      </c>
      <c r="AI10" s="125">
        <v>7824.85</v>
      </c>
      <c r="AJ10" s="127"/>
      <c r="AK10" s="37"/>
    </row>
    <row r="11" spans="1:37" ht="15.75" thickBot="1" x14ac:dyDescent="0.3">
      <c r="A11" s="13">
        <v>8</v>
      </c>
      <c r="B11" s="121">
        <f t="shared" si="0"/>
        <v>7841.7</v>
      </c>
      <c r="C11" s="122"/>
      <c r="D11" s="122"/>
      <c r="E11" s="71">
        <f t="shared" si="1"/>
        <v>-7841.7</v>
      </c>
      <c r="F11" s="102">
        <f t="shared" si="2"/>
        <v>-7841.7</v>
      </c>
      <c r="G11" s="64">
        <f t="shared" si="3"/>
        <v>0</v>
      </c>
      <c r="H11" s="118">
        <f t="shared" si="4"/>
        <v>7812.05</v>
      </c>
      <c r="I11" s="119"/>
      <c r="J11" s="119"/>
      <c r="K11" s="18">
        <f t="shared" si="5"/>
        <v>-7812.05</v>
      </c>
      <c r="L11" s="101">
        <f t="shared" si="6"/>
        <v>-7812.05</v>
      </c>
      <c r="M11" s="12">
        <f t="shared" si="7"/>
        <v>0</v>
      </c>
      <c r="N11" s="128">
        <f t="shared" si="8"/>
        <v>7845.85</v>
      </c>
      <c r="O11" s="119"/>
      <c r="P11" s="119"/>
      <c r="Q11" s="18">
        <f t="shared" si="9"/>
        <v>-7845.85</v>
      </c>
      <c r="R11" s="101">
        <f t="shared" si="10"/>
        <v>-7845.85</v>
      </c>
      <c r="S11" s="12">
        <f t="shared" si="11"/>
        <v>0</v>
      </c>
      <c r="T11" s="121"/>
      <c r="U11" s="122"/>
      <c r="V11" s="122"/>
      <c r="W11" s="71"/>
      <c r="X11" s="102"/>
      <c r="Y11" s="64"/>
      <c r="Z11" s="123">
        <v>7750.15</v>
      </c>
      <c r="AA11" s="122"/>
      <c r="AB11" s="122"/>
      <c r="AC11" s="71">
        <f t="shared" si="16"/>
        <v>-7750.15</v>
      </c>
      <c r="AD11" s="102">
        <f t="shared" si="17"/>
        <v>-7750.15</v>
      </c>
      <c r="AE11" s="54">
        <f t="shared" si="18"/>
        <v>0</v>
      </c>
      <c r="AF11" s="115"/>
      <c r="AG11" s="125">
        <v>7841.7</v>
      </c>
      <c r="AH11" s="126">
        <v>7812.05</v>
      </c>
      <c r="AI11" s="125">
        <v>7845.85</v>
      </c>
      <c r="AJ11" s="127"/>
      <c r="AK11" s="37"/>
    </row>
    <row r="12" spans="1:37" ht="15.75" thickBot="1" x14ac:dyDescent="0.3">
      <c r="A12" s="13">
        <v>9</v>
      </c>
      <c r="B12" s="112">
        <f t="shared" si="0"/>
        <v>7572.15</v>
      </c>
      <c r="C12" s="113"/>
      <c r="D12" s="113"/>
      <c r="E12" s="99">
        <f t="shared" si="1"/>
        <v>-7572.15</v>
      </c>
      <c r="F12" s="100">
        <f t="shared" si="2"/>
        <v>-7572.15</v>
      </c>
      <c r="G12" s="63">
        <f t="shared" si="3"/>
        <v>0</v>
      </c>
      <c r="H12" s="121">
        <f t="shared" si="4"/>
        <v>7545.2999999999993</v>
      </c>
      <c r="I12" s="122"/>
      <c r="J12" s="122"/>
      <c r="K12" s="71">
        <f t="shared" si="5"/>
        <v>-7545.2999999999993</v>
      </c>
      <c r="L12" s="102">
        <f t="shared" si="6"/>
        <v>-7545.2999999999993</v>
      </c>
      <c r="M12" s="64">
        <f t="shared" si="7"/>
        <v>0</v>
      </c>
      <c r="N12" s="112">
        <f t="shared" si="8"/>
        <v>7620.55</v>
      </c>
      <c r="O12" s="113"/>
      <c r="P12" s="113"/>
      <c r="Q12" s="99">
        <f t="shared" si="9"/>
        <v>-7620.55</v>
      </c>
      <c r="R12" s="100">
        <f t="shared" si="10"/>
        <v>-7620.55</v>
      </c>
      <c r="S12" s="62">
        <f t="shared" si="11"/>
        <v>0</v>
      </c>
      <c r="T12" s="129"/>
      <c r="U12" s="18"/>
      <c r="V12" s="101"/>
      <c r="W12" s="18"/>
      <c r="X12" s="101"/>
      <c r="Y12" s="47"/>
      <c r="Z12" s="114">
        <v>7620.9500000000007</v>
      </c>
      <c r="AA12" s="113"/>
      <c r="AB12" s="113"/>
      <c r="AC12" s="99">
        <f t="shared" si="16"/>
        <v>-7620.9500000000007</v>
      </c>
      <c r="AD12" s="100">
        <f t="shared" si="17"/>
        <v>-7620.9500000000007</v>
      </c>
      <c r="AE12" s="62">
        <f t="shared" si="18"/>
        <v>0</v>
      </c>
      <c r="AF12" s="115"/>
      <c r="AG12" s="130">
        <v>7572.15</v>
      </c>
      <c r="AH12" s="126">
        <v>7545.2999999999993</v>
      </c>
      <c r="AI12" s="130">
        <v>7620.55</v>
      </c>
      <c r="AJ12" s="127"/>
      <c r="AK12" s="37"/>
    </row>
    <row r="13" spans="1:37" x14ac:dyDescent="0.25">
      <c r="A13" s="13">
        <v>10</v>
      </c>
      <c r="B13" s="118">
        <f t="shared" si="0"/>
        <v>7519.2000000000007</v>
      </c>
      <c r="C13" s="119"/>
      <c r="D13" s="119"/>
      <c r="E13" s="18">
        <f t="shared" si="1"/>
        <v>-7519.2000000000007</v>
      </c>
      <c r="F13" s="101">
        <f t="shared" si="2"/>
        <v>-7519.2000000000007</v>
      </c>
      <c r="G13" s="12">
        <f t="shared" si="3"/>
        <v>0</v>
      </c>
      <c r="H13" s="129"/>
      <c r="I13" s="18"/>
      <c r="J13" s="101"/>
      <c r="K13" s="18"/>
      <c r="L13" s="101"/>
      <c r="M13" s="47"/>
      <c r="N13" s="118">
        <f t="shared" si="8"/>
        <v>7573.45</v>
      </c>
      <c r="O13" s="119"/>
      <c r="P13" s="119"/>
      <c r="Q13" s="18">
        <f t="shared" si="9"/>
        <v>-7573.45</v>
      </c>
      <c r="R13" s="101">
        <f t="shared" si="10"/>
        <v>-7573.45</v>
      </c>
      <c r="S13" s="12">
        <f t="shared" si="11"/>
        <v>0</v>
      </c>
      <c r="T13" s="129"/>
      <c r="U13" s="18"/>
      <c r="V13" s="101"/>
      <c r="W13" s="18"/>
      <c r="X13" s="101"/>
      <c r="Y13" s="47"/>
      <c r="Z13" s="120">
        <v>7507.4</v>
      </c>
      <c r="AA13" s="119"/>
      <c r="AB13" s="119"/>
      <c r="AC13" s="18">
        <f t="shared" si="16"/>
        <v>-7507.4</v>
      </c>
      <c r="AD13" s="101">
        <f t="shared" si="17"/>
        <v>-7507.4</v>
      </c>
      <c r="AE13" s="12">
        <f t="shared" si="18"/>
        <v>0</v>
      </c>
      <c r="AF13" s="115"/>
      <c r="AG13" s="130">
        <v>7519.2000000000007</v>
      </c>
      <c r="AH13" s="131"/>
      <c r="AI13" s="130">
        <v>7573.45</v>
      </c>
      <c r="AJ13" s="127"/>
      <c r="AK13" s="37"/>
    </row>
    <row r="14" spans="1:37" ht="15.75" thickBot="1" x14ac:dyDescent="0.3">
      <c r="A14" s="13">
        <v>11</v>
      </c>
      <c r="B14" s="118">
        <f t="shared" si="0"/>
        <v>7432.7999999999993</v>
      </c>
      <c r="C14" s="119"/>
      <c r="D14" s="119"/>
      <c r="E14" s="18">
        <f t="shared" si="1"/>
        <v>-7432.7999999999993</v>
      </c>
      <c r="F14" s="101">
        <f t="shared" si="2"/>
        <v>-7432.7999999999993</v>
      </c>
      <c r="G14" s="12">
        <f t="shared" si="3"/>
        <v>0</v>
      </c>
      <c r="H14" s="129"/>
      <c r="I14" s="103"/>
      <c r="J14" s="101"/>
      <c r="K14" s="18"/>
      <c r="L14" s="101"/>
      <c r="M14" s="47"/>
      <c r="N14" s="118">
        <f t="shared" si="8"/>
        <v>7473.85</v>
      </c>
      <c r="O14" s="119"/>
      <c r="P14" s="119"/>
      <c r="Q14" s="18">
        <f t="shared" si="9"/>
        <v>-7473.85</v>
      </c>
      <c r="R14" s="101">
        <f t="shared" si="10"/>
        <v>-7473.85</v>
      </c>
      <c r="S14" s="12">
        <f t="shared" si="11"/>
        <v>0</v>
      </c>
      <c r="T14" s="129"/>
      <c r="U14" s="18"/>
      <c r="V14" s="101"/>
      <c r="W14" s="18"/>
      <c r="X14" s="101"/>
      <c r="Y14" s="47"/>
      <c r="Z14" s="120">
        <v>7427.25</v>
      </c>
      <c r="AA14" s="119"/>
      <c r="AB14" s="119"/>
      <c r="AC14" s="18">
        <f t="shared" si="16"/>
        <v>-7427.25</v>
      </c>
      <c r="AD14" s="101">
        <f t="shared" si="17"/>
        <v>-7427.25</v>
      </c>
      <c r="AE14" s="12">
        <f t="shared" si="18"/>
        <v>0</v>
      </c>
      <c r="AF14" s="115"/>
      <c r="AG14" s="132">
        <v>7432.7999999999993</v>
      </c>
      <c r="AH14" s="131"/>
      <c r="AI14" s="132">
        <v>7473.85</v>
      </c>
      <c r="AJ14" s="127"/>
      <c r="AK14" s="37"/>
    </row>
    <row r="15" spans="1:37" x14ac:dyDescent="0.25">
      <c r="A15" s="13">
        <v>12</v>
      </c>
      <c r="B15" s="118">
        <f t="shared" si="0"/>
        <v>7429.1</v>
      </c>
      <c r="C15" s="119"/>
      <c r="D15" s="119"/>
      <c r="E15" s="18">
        <f t="shared" si="1"/>
        <v>-7429.1</v>
      </c>
      <c r="F15" s="101">
        <f t="shared" si="2"/>
        <v>-7429.1</v>
      </c>
      <c r="G15" s="12">
        <f t="shared" si="3"/>
        <v>0</v>
      </c>
      <c r="H15" s="129"/>
      <c r="I15" s="18"/>
      <c r="J15" s="101"/>
      <c r="K15" s="18"/>
      <c r="L15" s="101"/>
      <c r="M15" s="47"/>
      <c r="N15" s="118">
        <f t="shared" si="8"/>
        <v>7462.2</v>
      </c>
      <c r="O15" s="119"/>
      <c r="P15" s="119"/>
      <c r="Q15" s="18">
        <f t="shared" si="9"/>
        <v>-7462.2</v>
      </c>
      <c r="R15" s="101">
        <f t="shared" si="10"/>
        <v>-7462.2</v>
      </c>
      <c r="S15" s="12">
        <f t="shared" si="11"/>
        <v>0</v>
      </c>
      <c r="T15" s="47"/>
      <c r="U15" s="18"/>
      <c r="V15" s="11"/>
      <c r="W15" s="18"/>
      <c r="X15" s="11"/>
      <c r="Y15" s="47"/>
      <c r="Z15" s="120">
        <v>7445.85</v>
      </c>
      <c r="AA15" s="119"/>
      <c r="AB15" s="119"/>
      <c r="AC15" s="18">
        <f t="shared" si="16"/>
        <v>-7445.85</v>
      </c>
      <c r="AD15" s="101">
        <f t="shared" si="17"/>
        <v>-7445.85</v>
      </c>
      <c r="AE15" s="12">
        <f t="shared" si="18"/>
        <v>0</v>
      </c>
      <c r="AF15" s="115"/>
      <c r="AG15" s="133">
        <v>7429.1</v>
      </c>
      <c r="AH15" s="131"/>
      <c r="AI15" s="133">
        <v>7462.2</v>
      </c>
      <c r="AJ15" s="127"/>
      <c r="AK15" s="37"/>
    </row>
    <row r="16" spans="1:37" ht="15.75" thickBot="1" x14ac:dyDescent="0.3">
      <c r="A16" s="13">
        <v>13</v>
      </c>
      <c r="B16" s="118">
        <f t="shared" si="0"/>
        <v>7375.25</v>
      </c>
      <c r="C16" s="119"/>
      <c r="D16" s="119"/>
      <c r="E16" s="18">
        <f t="shared" si="1"/>
        <v>-7375.25</v>
      </c>
      <c r="F16" s="101">
        <f t="shared" si="2"/>
        <v>-7375.25</v>
      </c>
      <c r="G16" s="12">
        <f t="shared" si="3"/>
        <v>0</v>
      </c>
      <c r="H16" s="129"/>
      <c r="I16" s="18"/>
      <c r="J16" s="101"/>
      <c r="K16" s="18"/>
      <c r="L16" s="101"/>
      <c r="M16" s="47"/>
      <c r="N16" s="118">
        <f t="shared" si="8"/>
        <v>7410.75</v>
      </c>
      <c r="O16" s="119"/>
      <c r="P16" s="119"/>
      <c r="Q16" s="18">
        <f t="shared" si="9"/>
        <v>-7410.75</v>
      </c>
      <c r="R16" s="101">
        <f t="shared" si="10"/>
        <v>-7410.75</v>
      </c>
      <c r="S16" s="12">
        <f t="shared" si="11"/>
        <v>0</v>
      </c>
      <c r="T16" s="47"/>
      <c r="U16" s="18"/>
      <c r="V16" s="11"/>
      <c r="W16" s="18"/>
      <c r="X16" s="11"/>
      <c r="Y16" s="47"/>
      <c r="Z16" s="123">
        <v>7633</v>
      </c>
      <c r="AA16" s="71"/>
      <c r="AB16" s="72"/>
      <c r="AC16" s="71">
        <f t="shared" si="16"/>
        <v>-7633</v>
      </c>
      <c r="AD16" s="102">
        <f t="shared" si="17"/>
        <v>-7633</v>
      </c>
      <c r="AE16" s="54">
        <f t="shared" si="18"/>
        <v>0</v>
      </c>
      <c r="AF16" s="115"/>
      <c r="AG16" s="130">
        <v>7375.25</v>
      </c>
      <c r="AH16" s="131"/>
      <c r="AI16" s="130">
        <v>7410.75</v>
      </c>
      <c r="AJ16" s="127"/>
      <c r="AK16" s="37"/>
    </row>
    <row r="17" spans="1:38" ht="15.75" thickBot="1" x14ac:dyDescent="0.3">
      <c r="A17" s="13">
        <v>14</v>
      </c>
      <c r="B17" s="121">
        <f t="shared" si="0"/>
        <v>7397</v>
      </c>
      <c r="C17" s="122"/>
      <c r="D17" s="122"/>
      <c r="E17" s="71">
        <f t="shared" si="1"/>
        <v>-7397</v>
      </c>
      <c r="F17" s="102">
        <f t="shared" si="2"/>
        <v>-7397</v>
      </c>
      <c r="G17" s="54">
        <f t="shared" si="3"/>
        <v>0</v>
      </c>
      <c r="H17" s="129"/>
      <c r="I17" s="18"/>
      <c r="J17" s="101"/>
      <c r="K17" s="18"/>
      <c r="L17" s="101"/>
      <c r="M17" s="47"/>
      <c r="N17" s="121">
        <f t="shared" si="8"/>
        <v>7419.15</v>
      </c>
      <c r="O17" s="122"/>
      <c r="P17" s="122"/>
      <c r="Q17" s="71">
        <f t="shared" si="9"/>
        <v>-7419.15</v>
      </c>
      <c r="R17" s="102">
        <f t="shared" si="10"/>
        <v>-7419.15</v>
      </c>
      <c r="S17" s="54">
        <f t="shared" si="11"/>
        <v>0</v>
      </c>
      <c r="T17" s="47"/>
      <c r="U17" s="18"/>
      <c r="V17" s="11"/>
      <c r="W17" s="18"/>
      <c r="X17" s="11"/>
      <c r="Y17" s="47"/>
      <c r="Z17" s="40"/>
      <c r="AA17" s="18"/>
      <c r="AB17" s="11"/>
      <c r="AC17" s="18"/>
      <c r="AD17" s="11"/>
      <c r="AE17" s="12"/>
      <c r="AF17" s="115"/>
      <c r="AG17" s="130">
        <v>7397</v>
      </c>
      <c r="AH17" s="131"/>
      <c r="AI17" s="130">
        <v>7419.15</v>
      </c>
      <c r="AJ17" s="127"/>
      <c r="AK17" s="37"/>
    </row>
    <row r="18" spans="1:38" x14ac:dyDescent="0.25">
      <c r="A18" s="13">
        <v>15</v>
      </c>
      <c r="B18" s="118">
        <f t="shared" si="0"/>
        <v>7310.5499999999993</v>
      </c>
      <c r="C18" s="119"/>
      <c r="D18" s="119"/>
      <c r="E18" s="18">
        <f t="shared" si="1"/>
        <v>-7310.5499999999993</v>
      </c>
      <c r="F18" s="101">
        <f t="shared" si="2"/>
        <v>-7310.5499999999993</v>
      </c>
      <c r="G18" s="12">
        <f t="shared" si="3"/>
        <v>0</v>
      </c>
      <c r="H18" s="129"/>
      <c r="I18" s="18"/>
      <c r="J18" s="101"/>
      <c r="K18" s="18"/>
      <c r="L18" s="101"/>
      <c r="M18" s="47"/>
      <c r="N18" s="118">
        <f t="shared" si="8"/>
        <v>7345.8</v>
      </c>
      <c r="O18" s="119"/>
      <c r="P18" s="119"/>
      <c r="Q18" s="18">
        <f t="shared" si="9"/>
        <v>-7345.8</v>
      </c>
      <c r="R18" s="101">
        <f t="shared" si="10"/>
        <v>-7345.8</v>
      </c>
      <c r="S18" s="12">
        <f t="shared" si="11"/>
        <v>0</v>
      </c>
      <c r="T18" s="47"/>
      <c r="U18" s="18"/>
      <c r="V18" s="11"/>
      <c r="W18" s="18"/>
      <c r="X18" s="11"/>
      <c r="Y18" s="47"/>
      <c r="Z18" s="40"/>
      <c r="AA18" s="18"/>
      <c r="AB18" s="11"/>
      <c r="AC18" s="18"/>
      <c r="AD18" s="11"/>
      <c r="AE18" s="12"/>
      <c r="AF18" s="115"/>
      <c r="AG18" s="130">
        <v>7310.5499999999993</v>
      </c>
      <c r="AH18" s="131"/>
      <c r="AI18" s="130">
        <v>7345.8</v>
      </c>
      <c r="AJ18" s="127"/>
      <c r="AK18" s="37"/>
    </row>
    <row r="19" spans="1:38" ht="15.75" thickBot="1" x14ac:dyDescent="0.3">
      <c r="A19" s="13">
        <v>16</v>
      </c>
      <c r="B19" s="121">
        <f t="shared" si="0"/>
        <v>7356.6</v>
      </c>
      <c r="C19" s="122"/>
      <c r="D19" s="122"/>
      <c r="E19" s="71">
        <f t="shared" si="1"/>
        <v>-7356.6</v>
      </c>
      <c r="F19" s="102">
        <f t="shared" si="2"/>
        <v>-7356.6</v>
      </c>
      <c r="G19" s="54">
        <f t="shared" si="3"/>
        <v>0</v>
      </c>
      <c r="H19" s="104"/>
      <c r="I19" s="18"/>
      <c r="J19" s="11"/>
      <c r="K19" s="18"/>
      <c r="L19" s="11"/>
      <c r="M19" s="104"/>
      <c r="N19" s="121">
        <f t="shared" si="8"/>
        <v>7402.9</v>
      </c>
      <c r="O19" s="122"/>
      <c r="P19" s="122"/>
      <c r="Q19" s="71">
        <f t="shared" si="9"/>
        <v>-7402.9</v>
      </c>
      <c r="R19" s="102">
        <f t="shared" si="10"/>
        <v>-7402.9</v>
      </c>
      <c r="S19" s="54">
        <f t="shared" si="11"/>
        <v>0</v>
      </c>
      <c r="T19" s="104"/>
      <c r="U19" s="18"/>
      <c r="V19" s="11"/>
      <c r="W19" s="18"/>
      <c r="X19" s="11"/>
      <c r="Y19" s="104"/>
      <c r="Z19" s="105"/>
      <c r="AA19" s="18"/>
      <c r="AB19" s="11"/>
      <c r="AC19" s="18"/>
      <c r="AD19" s="11"/>
      <c r="AE19" s="106"/>
      <c r="AF19" s="134"/>
      <c r="AG19" s="130">
        <v>7356.6</v>
      </c>
      <c r="AH19" s="135"/>
      <c r="AI19" s="130">
        <v>7402.9</v>
      </c>
      <c r="AJ19" s="135"/>
      <c r="AK19" s="37"/>
    </row>
    <row r="20" spans="1:38" x14ac:dyDescent="0.25">
      <c r="A20" s="13">
        <v>17</v>
      </c>
      <c r="B20" s="105"/>
      <c r="C20" s="18"/>
      <c r="D20" s="11"/>
      <c r="E20" s="18"/>
      <c r="F20" s="11"/>
      <c r="G20" s="106"/>
      <c r="H20" s="104"/>
      <c r="I20" s="18"/>
      <c r="J20" s="11"/>
      <c r="K20" s="18"/>
      <c r="L20" s="11"/>
      <c r="M20" s="104"/>
      <c r="N20" s="105"/>
      <c r="O20" s="18"/>
      <c r="P20" s="11"/>
      <c r="Q20" s="18"/>
      <c r="R20" s="11"/>
      <c r="S20" s="106"/>
      <c r="T20" s="105"/>
      <c r="U20" s="18"/>
      <c r="V20" s="11"/>
      <c r="W20" s="18"/>
      <c r="X20" s="11"/>
      <c r="Y20" s="104"/>
      <c r="Z20" s="105"/>
      <c r="AA20" s="18"/>
      <c r="AB20" s="11"/>
      <c r="AC20" s="18"/>
      <c r="AD20" s="11"/>
      <c r="AE20" s="106"/>
      <c r="AF20" s="107"/>
      <c r="AG20" s="108"/>
      <c r="AH20" s="104"/>
      <c r="AI20" s="104"/>
      <c r="AJ20" s="107"/>
      <c r="AK20" s="29"/>
    </row>
    <row r="21" spans="1:38" ht="15.75" thickBot="1" x14ac:dyDescent="0.3">
      <c r="A21" s="14">
        <v>18</v>
      </c>
      <c r="B21" s="109"/>
      <c r="C21" s="71"/>
      <c r="D21" s="72"/>
      <c r="E21" s="71"/>
      <c r="F21" s="72"/>
      <c r="G21" s="110"/>
      <c r="H21" s="111"/>
      <c r="I21" s="71"/>
      <c r="J21" s="72"/>
      <c r="K21" s="71"/>
      <c r="L21" s="72"/>
      <c r="M21" s="111"/>
      <c r="N21" s="109"/>
      <c r="O21" s="72"/>
      <c r="P21" s="11"/>
      <c r="Q21" s="11"/>
      <c r="R21" s="11"/>
      <c r="S21" s="106"/>
      <c r="T21" s="105"/>
      <c r="U21" s="18"/>
      <c r="V21" s="11"/>
      <c r="W21" s="18"/>
      <c r="X21" s="11"/>
      <c r="Y21" s="104"/>
      <c r="Z21" s="109"/>
      <c r="AA21" s="71"/>
      <c r="AB21" s="72"/>
      <c r="AC21" s="71"/>
      <c r="AD21" s="72"/>
      <c r="AE21" s="110"/>
      <c r="AF21" s="107"/>
      <c r="AG21" s="135"/>
      <c r="AH21" s="104"/>
      <c r="AI21" s="104"/>
      <c r="AJ21" s="107"/>
      <c r="AK21" s="29"/>
    </row>
    <row r="22" spans="1:38" s="28" customFormat="1" ht="18.75" customHeight="1" thickBot="1" x14ac:dyDescent="0.3">
      <c r="A22" s="23"/>
      <c r="B22" s="24"/>
      <c r="C22" s="25"/>
      <c r="D22" s="26"/>
      <c r="E22" s="25"/>
      <c r="F22" s="26"/>
      <c r="G22" s="24"/>
      <c r="H22" s="24"/>
      <c r="I22" s="25"/>
      <c r="J22" s="26"/>
      <c r="K22" s="25"/>
      <c r="L22" s="26"/>
      <c r="M22" s="24"/>
      <c r="N22" s="24"/>
      <c r="O22" s="26"/>
      <c r="P22" s="79"/>
      <c r="Q22" s="80"/>
      <c r="R22" s="80"/>
      <c r="S22" s="81"/>
      <c r="T22" s="81"/>
      <c r="U22" s="82"/>
      <c r="V22" s="80"/>
      <c r="W22" s="82"/>
      <c r="X22" s="80"/>
      <c r="Y22" s="83"/>
      <c r="Z22" s="24"/>
      <c r="AA22" s="24"/>
      <c r="AB22" s="24"/>
      <c r="AC22" s="24"/>
      <c r="AD22" s="24"/>
      <c r="AE22" s="24"/>
      <c r="AF22" s="27"/>
      <c r="AG22" s="38"/>
      <c r="AH22" s="24"/>
      <c r="AI22" s="24"/>
      <c r="AJ22" s="32"/>
      <c r="AK22" s="32"/>
      <c r="AL22" s="33"/>
    </row>
    <row r="23" spans="1:38" ht="16.5" thickTop="1" thickBot="1" x14ac:dyDescent="0.3">
      <c r="A23" s="1"/>
      <c r="B23" s="2"/>
      <c r="C23" s="10"/>
      <c r="D23" s="22"/>
      <c r="E23" s="7"/>
      <c r="F23" s="16"/>
      <c r="G23" s="7"/>
      <c r="H23" s="10"/>
      <c r="I23" s="10"/>
      <c r="J23" s="4"/>
      <c r="K23" s="16"/>
      <c r="L23" s="136"/>
      <c r="M23" s="137" t="s">
        <v>20</v>
      </c>
      <c r="N23" s="138"/>
      <c r="O23" s="139"/>
      <c r="P23" s="75"/>
      <c r="Q23" s="97"/>
      <c r="R23" s="98"/>
      <c r="S23" s="86" t="s">
        <v>5</v>
      </c>
      <c r="T23" s="86"/>
      <c r="U23" s="86"/>
      <c r="V23" s="87" t="s">
        <v>6</v>
      </c>
      <c r="W23" s="87"/>
      <c r="X23" s="88"/>
      <c r="Y23" s="84"/>
      <c r="Z23" s="3"/>
      <c r="AA23" s="3"/>
      <c r="AB23" s="3"/>
      <c r="AC23" s="3"/>
      <c r="AD23" s="3"/>
      <c r="AE23" s="3"/>
      <c r="AF23" s="2"/>
      <c r="AG23" s="31"/>
      <c r="AH23" s="10"/>
      <c r="AI23" s="10"/>
      <c r="AJ23" s="29"/>
      <c r="AK23" s="29"/>
    </row>
    <row r="24" spans="1:38" ht="15.75" thickBot="1" x14ac:dyDescent="0.3">
      <c r="A24" s="1"/>
      <c r="B24" s="2"/>
      <c r="C24" s="10"/>
      <c r="D24" s="7"/>
      <c r="E24" s="7"/>
      <c r="F24" s="7"/>
      <c r="G24" s="7"/>
      <c r="H24" s="10"/>
      <c r="I24" s="10"/>
      <c r="J24" s="73"/>
      <c r="K24" s="73"/>
      <c r="L24" s="140"/>
      <c r="M24" s="146">
        <v>0</v>
      </c>
      <c r="N24" s="147"/>
      <c r="O24" s="141"/>
      <c r="P24" s="75"/>
      <c r="Q24" s="89" t="s">
        <v>7</v>
      </c>
      <c r="R24" s="90"/>
      <c r="S24" s="41">
        <v>3</v>
      </c>
      <c r="T24" s="41">
        <v>2</v>
      </c>
      <c r="U24" s="41">
        <v>1</v>
      </c>
      <c r="V24" s="41">
        <v>1</v>
      </c>
      <c r="W24" s="41">
        <v>2</v>
      </c>
      <c r="X24" s="65">
        <v>3</v>
      </c>
      <c r="Y24" s="84"/>
      <c r="Z24" s="3"/>
      <c r="AA24" s="3"/>
      <c r="AB24" s="3"/>
      <c r="AC24" s="3"/>
      <c r="AD24" s="3"/>
      <c r="AE24" s="3"/>
      <c r="AF24" s="2"/>
      <c r="AG24" s="38"/>
      <c r="AH24" s="5"/>
      <c r="AI24" s="29"/>
      <c r="AJ24" s="29"/>
      <c r="AK24" s="29"/>
    </row>
    <row r="25" spans="1:38" ht="15.75" thickBot="1" x14ac:dyDescent="0.3">
      <c r="A25" s="1"/>
      <c r="B25" s="2"/>
      <c r="C25" s="6"/>
      <c r="D25" s="7"/>
      <c r="E25" s="7"/>
      <c r="F25" s="7"/>
      <c r="G25" s="7"/>
      <c r="H25" s="10"/>
      <c r="I25" s="10"/>
      <c r="J25" s="73"/>
      <c r="K25" s="73"/>
      <c r="L25" s="142"/>
      <c r="M25" s="143"/>
      <c r="N25" s="144"/>
      <c r="O25" s="145"/>
      <c r="P25" s="75"/>
      <c r="Q25" s="91" t="s">
        <v>8</v>
      </c>
      <c r="R25" s="92"/>
      <c r="S25" s="43">
        <f>AVERAGE(E12:E17)</f>
        <v>-7454.25</v>
      </c>
      <c r="T25" s="43">
        <f>AVERAGE(E8:E11)</f>
        <v>-7915.8249999999998</v>
      </c>
      <c r="U25" s="44">
        <f>AVERAGE(E4:E7)</f>
        <v>-8181.25</v>
      </c>
      <c r="V25" s="44">
        <f>AVERAGE(F4:F7)</f>
        <v>-8181.25</v>
      </c>
      <c r="W25" s="44">
        <f>AVERAGE(F8:F11)</f>
        <v>-7915.8249999999998</v>
      </c>
      <c r="X25" s="66">
        <f>AVERAGE(F12:F17)</f>
        <v>-7454.25</v>
      </c>
      <c r="Y25" s="84"/>
      <c r="Z25" s="3"/>
      <c r="AA25" s="3"/>
      <c r="AB25" s="3"/>
      <c r="AC25" s="3"/>
      <c r="AD25" s="3"/>
      <c r="AE25" s="3"/>
      <c r="AF25" s="2"/>
      <c r="AG25" s="31"/>
      <c r="AH25" s="29"/>
      <c r="AI25" s="29"/>
      <c r="AJ25" s="29"/>
      <c r="AK25" s="29"/>
    </row>
    <row r="26" spans="1:38" x14ac:dyDescent="0.25">
      <c r="A26" s="1"/>
      <c r="B26" s="2"/>
      <c r="C26" s="6"/>
      <c r="D26" s="7"/>
      <c r="E26" s="7"/>
      <c r="F26" s="7"/>
      <c r="G26" s="7"/>
      <c r="H26" s="10"/>
      <c r="I26" s="10"/>
      <c r="J26" s="73"/>
      <c r="K26" s="73"/>
      <c r="L26" s="4"/>
      <c r="M26" s="3"/>
      <c r="N26" s="2"/>
      <c r="O26" s="15"/>
      <c r="P26" s="75"/>
      <c r="Q26" s="93" t="s">
        <v>9</v>
      </c>
      <c r="R26" s="94"/>
      <c r="S26" s="45">
        <f>AVERAGE(Q12:Q17)</f>
        <v>-7493.3250000000007</v>
      </c>
      <c r="T26" s="45">
        <f>AVERAGE(Q8:Q11)</f>
        <v>-7916.9375</v>
      </c>
      <c r="U26" s="46">
        <f>AVERAGE(Q4:Q7)</f>
        <v>-8158.0499999999993</v>
      </c>
      <c r="V26" s="46">
        <f>AVERAGE(R4:R7)</f>
        <v>-8158.0499999999993</v>
      </c>
      <c r="W26" s="46">
        <f>AVERAGE(R8:R11)</f>
        <v>-7916.9375</v>
      </c>
      <c r="X26" s="67">
        <f>AVERAGE(R12:R17)</f>
        <v>-7493.3250000000007</v>
      </c>
      <c r="Y26" s="84"/>
      <c r="Z26" s="3"/>
      <c r="AA26" s="3"/>
      <c r="AB26" s="3"/>
      <c r="AC26" s="3"/>
      <c r="AD26" s="3"/>
      <c r="AE26" s="3"/>
      <c r="AF26" s="2"/>
      <c r="AG26" s="38"/>
      <c r="AH26" s="29"/>
      <c r="AI26" s="29"/>
      <c r="AJ26" s="29"/>
      <c r="AK26" s="29"/>
    </row>
    <row r="27" spans="1:38" ht="27" customHeight="1" thickBot="1" x14ac:dyDescent="0.3">
      <c r="A27" s="1"/>
      <c r="B27" s="2"/>
      <c r="C27" s="16"/>
      <c r="D27" s="4"/>
      <c r="E27" s="16"/>
      <c r="F27" s="4"/>
      <c r="G27" s="74"/>
      <c r="H27" s="6"/>
      <c r="I27" s="16"/>
      <c r="J27" s="4"/>
      <c r="K27" s="16"/>
      <c r="L27" s="4"/>
      <c r="M27" s="3"/>
      <c r="N27" s="2"/>
      <c r="O27" s="15"/>
      <c r="P27" s="75"/>
      <c r="Q27" s="95" t="s">
        <v>10</v>
      </c>
      <c r="R27" s="96"/>
      <c r="S27" s="68">
        <f>S25-S26</f>
        <v>39.075000000000728</v>
      </c>
      <c r="T27" s="68">
        <f t="shared" ref="T27:W27" si="19">T25-T26</f>
        <v>1.1125000000001819</v>
      </c>
      <c r="U27" s="69">
        <f t="shared" si="19"/>
        <v>-23.200000000000728</v>
      </c>
      <c r="V27" s="69">
        <f t="shared" si="19"/>
        <v>-23.200000000000728</v>
      </c>
      <c r="W27" s="69">
        <f t="shared" si="19"/>
        <v>1.1125000000001819</v>
      </c>
      <c r="X27" s="70">
        <f>X25-X26</f>
        <v>39.075000000000728</v>
      </c>
      <c r="Y27" s="84"/>
      <c r="Z27" s="3"/>
      <c r="AA27" s="3"/>
      <c r="AB27" s="3"/>
      <c r="AC27" s="3"/>
      <c r="AD27" s="3"/>
      <c r="AE27" s="3"/>
      <c r="AF27" s="2"/>
      <c r="AG27" s="31"/>
      <c r="AH27" s="29"/>
      <c r="AI27" s="42"/>
      <c r="AJ27" s="29"/>
      <c r="AK27" s="29"/>
    </row>
    <row r="28" spans="1:38" ht="16.5" thickTop="1" thickBot="1" x14ac:dyDescent="0.3">
      <c r="A28" s="1"/>
      <c r="B28" s="2"/>
      <c r="C28" s="15"/>
      <c r="D28" s="5"/>
      <c r="E28" s="15"/>
      <c r="F28" s="5"/>
      <c r="G28" s="3"/>
      <c r="H28" s="2"/>
      <c r="I28" s="15"/>
      <c r="J28" s="5"/>
      <c r="K28" s="15"/>
      <c r="L28" s="5"/>
      <c r="M28" s="3"/>
      <c r="N28" s="2"/>
      <c r="O28" s="15"/>
      <c r="P28" s="76"/>
      <c r="Q28" s="19"/>
      <c r="R28" s="53"/>
      <c r="S28" s="77"/>
      <c r="T28" s="78"/>
      <c r="U28" s="19"/>
      <c r="V28" s="53"/>
      <c r="W28" s="19"/>
      <c r="X28" s="53"/>
      <c r="Y28" s="85"/>
      <c r="Z28" s="3"/>
      <c r="AA28" s="3"/>
      <c r="AB28" s="3"/>
      <c r="AC28" s="3"/>
      <c r="AD28" s="3"/>
      <c r="AE28" s="3"/>
      <c r="AF28" s="2"/>
      <c r="AG28" s="38"/>
      <c r="AH28" s="29"/>
      <c r="AI28" s="29"/>
      <c r="AJ28" s="29"/>
      <c r="AK28" s="29"/>
    </row>
    <row r="29" spans="1:38" x14ac:dyDescent="0.25">
      <c r="A29" s="1"/>
      <c r="B29" s="2"/>
      <c r="C29" s="15"/>
      <c r="D29" s="5"/>
      <c r="E29" s="15"/>
      <c r="F29" s="5"/>
      <c r="G29" s="3"/>
      <c r="H29" s="2"/>
      <c r="I29" s="15"/>
      <c r="J29" s="5"/>
      <c r="K29" s="15"/>
      <c r="L29" s="5"/>
      <c r="M29" s="3"/>
      <c r="N29" s="2"/>
      <c r="O29" s="15"/>
      <c r="P29" s="5"/>
      <c r="Q29" s="15"/>
      <c r="R29" s="5"/>
      <c r="S29" s="3"/>
      <c r="T29" s="2"/>
      <c r="U29" s="15"/>
      <c r="V29" s="5"/>
      <c r="W29" s="15"/>
      <c r="X29" s="5"/>
      <c r="Y29" s="3"/>
      <c r="Z29" s="3"/>
      <c r="AA29" s="3"/>
      <c r="AB29" s="3"/>
      <c r="AC29" s="3"/>
      <c r="AD29" s="3"/>
      <c r="AE29" s="3"/>
      <c r="AF29" s="2"/>
      <c r="AG29" s="31"/>
      <c r="AH29" s="29"/>
      <c r="AI29" s="29"/>
      <c r="AJ29" s="29"/>
      <c r="AK29" s="29"/>
    </row>
    <row r="30" spans="1:38" x14ac:dyDescent="0.25">
      <c r="A30" s="1"/>
      <c r="B30" s="2"/>
      <c r="C30" s="15"/>
      <c r="D30" s="5"/>
      <c r="E30" s="15"/>
      <c r="F30" s="5"/>
      <c r="G30" s="3"/>
      <c r="H30" s="2"/>
      <c r="I30" s="15"/>
      <c r="J30" s="5"/>
      <c r="K30" s="15"/>
      <c r="L30" s="5"/>
      <c r="M30" s="3"/>
      <c r="N30" s="2"/>
      <c r="O30" s="15"/>
      <c r="P30" s="5"/>
      <c r="Q30" s="15"/>
      <c r="R30" s="5"/>
      <c r="S30" s="3"/>
      <c r="T30" s="2"/>
      <c r="U30" s="15"/>
      <c r="V30" s="5"/>
      <c r="W30" s="15"/>
      <c r="X30" s="5"/>
      <c r="Y30" s="3"/>
      <c r="Z30" s="3"/>
      <c r="AA30" s="3"/>
      <c r="AB30" s="3"/>
      <c r="AC30" s="3"/>
      <c r="AD30" s="3"/>
      <c r="AE30" s="3"/>
      <c r="AF30" s="2"/>
      <c r="AG30" s="38"/>
      <c r="AH30" s="29"/>
      <c r="AI30" s="29"/>
      <c r="AJ30" s="29"/>
      <c r="AK30" s="29"/>
    </row>
    <row r="31" spans="1:38" x14ac:dyDescent="0.25">
      <c r="A31" s="1"/>
      <c r="B31" s="2"/>
      <c r="C31" s="15"/>
      <c r="D31" s="5"/>
      <c r="E31" s="15"/>
      <c r="F31" s="5"/>
      <c r="G31" s="3"/>
      <c r="H31" s="2"/>
      <c r="I31" s="15"/>
      <c r="J31" s="5"/>
      <c r="K31" s="15"/>
      <c r="L31" s="5"/>
      <c r="M31" s="3"/>
      <c r="N31" s="2"/>
      <c r="O31" s="15"/>
      <c r="P31" s="5"/>
      <c r="Q31" s="15"/>
      <c r="R31" s="5"/>
      <c r="S31" s="3"/>
      <c r="T31" s="2"/>
      <c r="U31" s="15"/>
      <c r="V31" s="5"/>
      <c r="W31" s="15"/>
      <c r="X31" s="5"/>
      <c r="Y31" s="3"/>
      <c r="Z31" s="3"/>
      <c r="AA31" s="3"/>
      <c r="AB31" s="3"/>
      <c r="AC31" s="3"/>
      <c r="AD31" s="3"/>
      <c r="AE31" s="3"/>
      <c r="AF31" s="2"/>
      <c r="AG31" s="31"/>
      <c r="AH31" s="29"/>
      <c r="AI31" s="29"/>
      <c r="AJ31" s="29"/>
      <c r="AK31" s="29"/>
    </row>
    <row r="32" spans="1:38" x14ac:dyDescent="0.25">
      <c r="A32" s="1"/>
      <c r="B32" s="2"/>
      <c r="C32" s="15"/>
      <c r="D32" s="5"/>
      <c r="E32" s="15"/>
      <c r="F32" s="5"/>
      <c r="G32" s="3"/>
      <c r="H32" s="2"/>
      <c r="I32" s="15"/>
      <c r="J32" s="5"/>
      <c r="K32" s="15"/>
      <c r="L32" s="5"/>
      <c r="M32" s="3"/>
      <c r="N32" s="2"/>
      <c r="O32" s="15"/>
      <c r="P32" s="5"/>
      <c r="Q32" s="15"/>
      <c r="R32" s="5"/>
      <c r="S32" s="3"/>
      <c r="T32" s="2"/>
      <c r="U32" s="15"/>
      <c r="V32" s="5"/>
      <c r="W32" s="15"/>
      <c r="X32" s="5"/>
      <c r="Y32" s="3"/>
      <c r="Z32" s="3"/>
      <c r="AA32" s="3"/>
      <c r="AB32" s="3"/>
      <c r="AC32" s="3"/>
      <c r="AD32" s="3"/>
      <c r="AE32" s="3"/>
      <c r="AF32" s="2"/>
      <c r="AG32" s="38"/>
      <c r="AH32" s="29"/>
      <c r="AI32" s="29"/>
      <c r="AJ32" s="29"/>
      <c r="AK32" s="29"/>
    </row>
    <row r="33" spans="1:37" x14ac:dyDescent="0.25">
      <c r="A33" s="1"/>
      <c r="B33" s="2"/>
      <c r="C33" s="15"/>
      <c r="D33" s="5"/>
      <c r="E33" s="15"/>
      <c r="F33" s="5"/>
      <c r="G33" s="3"/>
      <c r="H33" s="2"/>
      <c r="I33" s="15"/>
      <c r="J33" s="5"/>
      <c r="K33" s="15"/>
      <c r="L33" s="5"/>
      <c r="M33" s="3"/>
      <c r="N33" s="2"/>
      <c r="O33" s="15"/>
      <c r="P33" s="5"/>
      <c r="Q33" s="15"/>
      <c r="R33" s="5"/>
      <c r="S33" s="3"/>
      <c r="T33" s="2"/>
      <c r="U33" s="15"/>
      <c r="V33" s="5"/>
      <c r="W33" s="15"/>
      <c r="X33" s="5"/>
      <c r="Y33" s="3"/>
      <c r="Z33" s="3"/>
      <c r="AA33" s="3"/>
      <c r="AB33" s="3"/>
      <c r="AC33" s="3"/>
      <c r="AD33" s="3"/>
      <c r="AE33" s="3"/>
      <c r="AF33" s="2"/>
      <c r="AG33" s="31"/>
      <c r="AH33" s="29"/>
      <c r="AI33" s="29"/>
      <c r="AJ33" s="29"/>
      <c r="AK33" s="29"/>
    </row>
    <row r="34" spans="1:37" x14ac:dyDescent="0.25">
      <c r="A34" s="1"/>
      <c r="B34" s="2"/>
      <c r="C34" s="15"/>
      <c r="D34" s="5"/>
      <c r="E34" s="15"/>
      <c r="F34" s="5"/>
      <c r="G34" s="3"/>
      <c r="H34" s="2"/>
      <c r="I34" s="15"/>
      <c r="J34" s="5"/>
      <c r="K34" s="15"/>
      <c r="L34" s="5"/>
      <c r="M34" s="3"/>
      <c r="N34" s="2"/>
      <c r="O34" s="15"/>
      <c r="P34" s="5"/>
      <c r="Q34" s="15"/>
      <c r="R34" s="5"/>
      <c r="S34" s="3"/>
      <c r="T34" s="2"/>
      <c r="U34" s="15"/>
      <c r="V34" s="5"/>
      <c r="W34" s="15"/>
      <c r="X34" s="5"/>
      <c r="Y34" s="3"/>
      <c r="Z34" s="3"/>
      <c r="AA34" s="3"/>
      <c r="AB34" s="3"/>
      <c r="AC34" s="3"/>
      <c r="AD34" s="3"/>
      <c r="AE34" s="3"/>
      <c r="AF34" s="2"/>
      <c r="AG34" s="38"/>
      <c r="AH34" s="29"/>
      <c r="AI34" s="29"/>
      <c r="AJ34" s="29"/>
      <c r="AK34" s="29"/>
    </row>
    <row r="35" spans="1:37" x14ac:dyDescent="0.25">
      <c r="A35" s="1"/>
      <c r="B35" s="2"/>
      <c r="C35" s="15"/>
      <c r="D35" s="5"/>
      <c r="E35" s="15"/>
      <c r="F35" s="5"/>
      <c r="G35" s="3"/>
      <c r="H35" s="2"/>
      <c r="I35" s="15"/>
      <c r="J35" s="5"/>
      <c r="K35" s="15"/>
      <c r="L35" s="5"/>
      <c r="M35" s="3"/>
      <c r="N35" s="2"/>
      <c r="O35" s="15"/>
      <c r="P35" s="5"/>
      <c r="Q35" s="15"/>
      <c r="R35" s="5"/>
      <c r="S35" s="3"/>
      <c r="T35" s="2"/>
      <c r="U35" s="15"/>
      <c r="V35" s="5"/>
      <c r="W35" s="15"/>
      <c r="X35" s="5"/>
      <c r="Y35" s="3"/>
      <c r="Z35" s="3"/>
      <c r="AA35" s="3"/>
      <c r="AB35" s="3"/>
      <c r="AC35" s="3"/>
      <c r="AD35" s="3"/>
      <c r="AE35" s="3"/>
      <c r="AF35" s="2"/>
      <c r="AG35" s="31"/>
      <c r="AH35" s="29"/>
      <c r="AI35" s="29"/>
      <c r="AJ35" s="29"/>
      <c r="AK35" s="29"/>
    </row>
    <row r="36" spans="1:37" x14ac:dyDescent="0.25">
      <c r="A36" s="1"/>
      <c r="B36" s="2"/>
      <c r="C36" s="15"/>
      <c r="D36" s="5"/>
      <c r="E36" s="15"/>
      <c r="F36" s="5"/>
      <c r="G36" s="3"/>
      <c r="H36" s="2"/>
      <c r="I36" s="15"/>
      <c r="J36" s="5"/>
      <c r="K36" s="15"/>
      <c r="L36" s="5"/>
      <c r="M36" s="3"/>
      <c r="N36" s="2"/>
      <c r="O36" s="15"/>
      <c r="P36" s="5"/>
      <c r="Q36" s="15"/>
      <c r="R36" s="5"/>
      <c r="S36" s="3"/>
      <c r="T36" s="2"/>
      <c r="U36" s="15"/>
      <c r="V36" s="5"/>
      <c r="W36" s="15"/>
      <c r="X36" s="5"/>
      <c r="Y36" s="3"/>
      <c r="Z36" s="3"/>
      <c r="AA36" s="3"/>
      <c r="AB36" s="3"/>
      <c r="AC36" s="3"/>
      <c r="AD36" s="3"/>
      <c r="AE36" s="3"/>
      <c r="AF36" s="2"/>
      <c r="AG36" s="38"/>
      <c r="AH36" s="29"/>
      <c r="AI36" s="29"/>
      <c r="AJ36" s="29"/>
      <c r="AK36" s="29"/>
    </row>
    <row r="37" spans="1:37" x14ac:dyDescent="0.25">
      <c r="A37" s="1"/>
      <c r="B37" s="2"/>
      <c r="C37" s="15"/>
      <c r="D37" s="5"/>
      <c r="E37" s="15"/>
      <c r="F37" s="5"/>
      <c r="G37" s="3"/>
      <c r="H37" s="2"/>
      <c r="I37" s="15"/>
      <c r="J37" s="5"/>
      <c r="K37" s="15"/>
      <c r="L37" s="5"/>
      <c r="M37" s="3"/>
      <c r="N37" s="2"/>
      <c r="O37" s="15"/>
      <c r="P37" s="5"/>
      <c r="Q37" s="15"/>
      <c r="R37" s="5"/>
      <c r="S37" s="3"/>
      <c r="T37" s="2"/>
      <c r="U37" s="15"/>
      <c r="V37" s="5"/>
      <c r="W37" s="15"/>
      <c r="X37" s="5"/>
      <c r="Y37" s="3"/>
      <c r="Z37" s="3"/>
      <c r="AA37" s="3"/>
      <c r="AB37" s="3"/>
      <c r="AC37" s="3"/>
      <c r="AD37" s="3"/>
      <c r="AE37" s="3"/>
      <c r="AF37" s="2"/>
      <c r="AG37" s="31"/>
      <c r="AH37" s="29"/>
      <c r="AI37" s="29"/>
      <c r="AJ37" s="29"/>
      <c r="AK37" s="29"/>
    </row>
    <row r="38" spans="1:37" x14ac:dyDescent="0.25">
      <c r="A38" s="1"/>
      <c r="B38" s="2"/>
      <c r="C38" s="15"/>
      <c r="D38" s="5"/>
      <c r="E38" s="15"/>
      <c r="F38" s="5"/>
      <c r="G38" s="3"/>
      <c r="H38" s="2"/>
      <c r="I38" s="15"/>
      <c r="J38" s="5"/>
      <c r="K38" s="15"/>
      <c r="L38" s="5"/>
      <c r="M38" s="3"/>
      <c r="N38" s="2"/>
      <c r="O38" s="15"/>
      <c r="P38" s="5"/>
      <c r="Q38" s="15"/>
      <c r="R38" s="5"/>
      <c r="S38" s="3"/>
      <c r="T38" s="2"/>
      <c r="U38" s="15"/>
      <c r="V38" s="5"/>
      <c r="W38" s="15"/>
      <c r="X38" s="5"/>
      <c r="Y38" s="3"/>
      <c r="Z38" s="3"/>
      <c r="AA38" s="3"/>
      <c r="AB38" s="3"/>
      <c r="AC38" s="3"/>
      <c r="AD38" s="3"/>
      <c r="AE38" s="3"/>
      <c r="AF38" s="2"/>
      <c r="AG38" s="38"/>
      <c r="AH38" s="29"/>
      <c r="AI38" s="29"/>
      <c r="AJ38" s="29"/>
      <c r="AK38" s="29"/>
    </row>
    <row r="39" spans="1:37" x14ac:dyDescent="0.25">
      <c r="A39" s="1"/>
      <c r="B39" s="2"/>
      <c r="C39" s="15"/>
      <c r="D39" s="5"/>
      <c r="E39" s="15"/>
      <c r="F39" s="5"/>
      <c r="G39" s="3"/>
      <c r="H39" s="2"/>
      <c r="I39" s="15"/>
      <c r="J39" s="5"/>
      <c r="K39" s="15"/>
      <c r="L39" s="5"/>
      <c r="M39" s="3"/>
      <c r="N39" s="2"/>
      <c r="O39" s="15"/>
      <c r="P39" s="5"/>
      <c r="Q39" s="15"/>
      <c r="R39" s="5"/>
      <c r="S39" s="3"/>
      <c r="T39" s="2"/>
      <c r="U39" s="15"/>
      <c r="V39" s="5"/>
      <c r="W39" s="15"/>
      <c r="X39" s="5"/>
      <c r="Y39" s="3"/>
      <c r="Z39" s="3"/>
      <c r="AA39" s="3"/>
      <c r="AB39" s="3"/>
      <c r="AC39" s="3"/>
      <c r="AD39" s="3"/>
      <c r="AE39" s="3"/>
      <c r="AF39" s="2"/>
      <c r="AG39" s="31"/>
      <c r="AH39" s="29"/>
      <c r="AI39" s="29"/>
      <c r="AJ39" s="29"/>
      <c r="AK39" s="29"/>
    </row>
    <row r="40" spans="1:37" x14ac:dyDescent="0.25">
      <c r="A40" s="1"/>
      <c r="B40" s="2"/>
      <c r="C40" s="15"/>
      <c r="D40" s="5"/>
      <c r="E40" s="15"/>
      <c r="F40" s="5"/>
      <c r="G40" s="3"/>
      <c r="H40" s="2"/>
      <c r="I40" s="15"/>
      <c r="J40" s="5"/>
      <c r="K40" s="15"/>
      <c r="L40" s="5"/>
      <c r="M40" s="3"/>
      <c r="N40" s="2"/>
      <c r="O40" s="15"/>
      <c r="P40" s="5"/>
      <c r="Q40" s="15"/>
      <c r="R40" s="5"/>
      <c r="S40" s="3"/>
      <c r="T40" s="2"/>
      <c r="U40" s="15"/>
      <c r="V40" s="5"/>
      <c r="W40" s="15"/>
      <c r="X40" s="5"/>
      <c r="Y40" s="3"/>
      <c r="Z40" s="3"/>
      <c r="AA40" s="3"/>
      <c r="AB40" s="3"/>
      <c r="AC40" s="3"/>
      <c r="AD40" s="3"/>
      <c r="AE40" s="3"/>
      <c r="AF40" s="2"/>
      <c r="AG40" s="29"/>
      <c r="AH40" s="29"/>
      <c r="AI40" s="29"/>
      <c r="AJ40" s="29"/>
      <c r="AK40" s="29"/>
    </row>
  </sheetData>
  <mergeCells count="9">
    <mergeCell ref="Q27:R27"/>
    <mergeCell ref="M23:N23"/>
    <mergeCell ref="M24:N24"/>
    <mergeCell ref="Q23:R23"/>
    <mergeCell ref="S23:U23"/>
    <mergeCell ref="V23:X23"/>
    <mergeCell ref="Q24:R24"/>
    <mergeCell ref="Q25:R25"/>
    <mergeCell ref="Q26:R26"/>
  </mergeCells>
  <conditionalFormatting sqref="G4:G21">
    <cfRule type="cellIs" dxfId="8" priority="11" operator="between">
      <formula>10</formula>
      <formula>-10</formula>
    </cfRule>
  </conditionalFormatting>
  <conditionalFormatting sqref="M4:M21">
    <cfRule type="cellIs" dxfId="7" priority="10" operator="between">
      <formula>10</formula>
      <formula>-10</formula>
    </cfRule>
  </conditionalFormatting>
  <conditionalFormatting sqref="S4:S21">
    <cfRule type="cellIs" dxfId="6" priority="9" operator="between">
      <formula>10</formula>
      <formula>-10</formula>
    </cfRule>
  </conditionalFormatting>
  <conditionalFormatting sqref="Y4:Y21">
    <cfRule type="cellIs" dxfId="5" priority="8" operator="between">
      <formula>10</formula>
      <formula>-10</formula>
    </cfRule>
  </conditionalFormatting>
  <conditionalFormatting sqref="W4:Y18 E4:G19 K4:M18 Q4:S19">
    <cfRule type="cellIs" dxfId="4" priority="6" operator="lessThan">
      <formula>-10</formula>
    </cfRule>
  </conditionalFormatting>
  <conditionalFormatting sqref="W4:Y18 E4:G19 K4:M17 Q4:S19">
    <cfRule type="cellIs" dxfId="3" priority="5" operator="greaterThan">
      <formula>10</formula>
    </cfRule>
  </conditionalFormatting>
  <conditionalFormatting sqref="AE4:AE21">
    <cfRule type="cellIs" dxfId="2" priority="3" operator="between">
      <formula>10</formula>
      <formula>-10</formula>
    </cfRule>
  </conditionalFormatting>
  <conditionalFormatting sqref="AC4:AE18">
    <cfRule type="cellIs" dxfId="1" priority="2" operator="lessThan">
      <formula>-10</formula>
    </cfRule>
  </conditionalFormatting>
  <conditionalFormatting sqref="AC4:AE18">
    <cfRule type="cellIs" dxfId="0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Spreadsheet 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HP Demo</cp:lastModifiedBy>
  <dcterms:created xsi:type="dcterms:W3CDTF">2017-04-21T05:36:45Z</dcterms:created>
  <dcterms:modified xsi:type="dcterms:W3CDTF">2022-07-25T14:32:13Z</dcterms:modified>
</cp:coreProperties>
</file>