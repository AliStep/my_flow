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ser\Dropbox\FlowParagliders\Line Trim\F2 LIGHT\"/>
    </mc:Choice>
  </mc:AlternateContent>
  <xr:revisionPtr revIDLastSave="0" documentId="13_ncr:1_{C0C08F14-DF50-4CB0-82C4-31139BFB2A0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15" i="4" l="1"/>
  <c r="Z4" i="4"/>
  <c r="Z5" i="4"/>
  <c r="Z6" i="4"/>
  <c r="Z7" i="4"/>
  <c r="Z8" i="4"/>
  <c r="Z9" i="4"/>
  <c r="Z10" i="4"/>
  <c r="Z11" i="4"/>
  <c r="M14" i="4"/>
  <c r="M13" i="4"/>
  <c r="AI4" i="4" l="1"/>
  <c r="AJ4" i="4"/>
  <c r="AK4" i="4"/>
  <c r="AI5" i="4"/>
  <c r="AJ5" i="4"/>
  <c r="AK5" i="4"/>
  <c r="AI6" i="4"/>
  <c r="AJ6" i="4"/>
  <c r="AK6" i="4"/>
  <c r="AI7" i="4"/>
  <c r="AJ7" i="4"/>
  <c r="AK7" i="4"/>
  <c r="AI8" i="4"/>
  <c r="AJ8" i="4"/>
  <c r="AK8" i="4"/>
  <c r="AI9" i="4"/>
  <c r="AJ9" i="4"/>
  <c r="AK9" i="4"/>
  <c r="AI10" i="4"/>
  <c r="AJ10" i="4"/>
  <c r="AK10" i="4"/>
  <c r="AI11" i="4"/>
  <c r="AJ11" i="4"/>
  <c r="AK11" i="4"/>
  <c r="AI12" i="4"/>
  <c r="AJ12" i="4"/>
  <c r="AK12" i="4"/>
  <c r="AI13" i="4"/>
  <c r="AJ13" i="4"/>
  <c r="AK13" i="4"/>
  <c r="AI14" i="4"/>
  <c r="AJ14" i="4"/>
  <c r="AK14" i="4"/>
  <c r="AJ15" i="4"/>
  <c r="AK15" i="4"/>
  <c r="B12" i="4"/>
  <c r="F12" i="4" s="1"/>
  <c r="G12" i="4"/>
  <c r="H12" i="4"/>
  <c r="L12" i="4" s="1"/>
  <c r="M12" i="4"/>
  <c r="N12" i="4"/>
  <c r="R12" i="4" s="1"/>
  <c r="S12" i="4"/>
  <c r="T12" i="4"/>
  <c r="X12" i="4" s="1"/>
  <c r="Y12" i="4"/>
  <c r="B13" i="4"/>
  <c r="F13" i="4" s="1"/>
  <c r="G13" i="4"/>
  <c r="H13" i="4"/>
  <c r="L13" i="4" s="1"/>
  <c r="N13" i="4"/>
  <c r="R13" i="4" s="1"/>
  <c r="S13" i="4"/>
  <c r="T13" i="4"/>
  <c r="W13" i="4" s="1"/>
  <c r="Y13" i="4"/>
  <c r="B14" i="4"/>
  <c r="E14" i="4" s="1"/>
  <c r="G14" i="4"/>
  <c r="H14" i="4"/>
  <c r="K14" i="4" s="1"/>
  <c r="N14" i="4"/>
  <c r="R14" i="4" s="1"/>
  <c r="S14" i="4"/>
  <c r="T14" i="4"/>
  <c r="X14" i="4" s="1"/>
  <c r="Y14" i="4"/>
  <c r="B15" i="4"/>
  <c r="F15" i="4" s="1"/>
  <c r="G15" i="4"/>
  <c r="N15" i="4"/>
  <c r="Q15" i="4" s="1"/>
  <c r="S15" i="4"/>
  <c r="T15" i="4"/>
  <c r="W15" i="4" s="1"/>
  <c r="Y15" i="4"/>
  <c r="B16" i="4"/>
  <c r="E16" i="4" s="1"/>
  <c r="G16" i="4"/>
  <c r="N16" i="4"/>
  <c r="R16" i="4" s="1"/>
  <c r="S16" i="4"/>
  <c r="T16" i="4"/>
  <c r="W16" i="4" s="1"/>
  <c r="Y16" i="4"/>
  <c r="AC4" i="4"/>
  <c r="AC5" i="4"/>
  <c r="AD6" i="4"/>
  <c r="AD7" i="4"/>
  <c r="AC8" i="4"/>
  <c r="AD9" i="4"/>
  <c r="AD10" i="4"/>
  <c r="AD11" i="4"/>
  <c r="AE11" i="4"/>
  <c r="AE10" i="4"/>
  <c r="AE9" i="4"/>
  <c r="AE8" i="4"/>
  <c r="AE7" i="4"/>
  <c r="AE6" i="4"/>
  <c r="AE5" i="4"/>
  <c r="AE4" i="4"/>
  <c r="Y11" i="4"/>
  <c r="T11" i="4"/>
  <c r="W11" i="4" s="1"/>
  <c r="S11" i="4"/>
  <c r="N11" i="4"/>
  <c r="R11" i="4" s="1"/>
  <c r="M11" i="4"/>
  <c r="H11" i="4"/>
  <c r="L11" i="4" s="1"/>
  <c r="G11" i="4"/>
  <c r="B11" i="4"/>
  <c r="F11" i="4" s="1"/>
  <c r="Y10" i="4"/>
  <c r="T10" i="4"/>
  <c r="W10" i="4" s="1"/>
  <c r="S10" i="4"/>
  <c r="N10" i="4"/>
  <c r="R10" i="4" s="1"/>
  <c r="M10" i="4"/>
  <c r="H10" i="4"/>
  <c r="K10" i="4" s="1"/>
  <c r="G10" i="4"/>
  <c r="B10" i="4"/>
  <c r="F10" i="4" s="1"/>
  <c r="Y9" i="4"/>
  <c r="T9" i="4"/>
  <c r="X9" i="4" s="1"/>
  <c r="S9" i="4"/>
  <c r="N9" i="4"/>
  <c r="R9" i="4" s="1"/>
  <c r="M9" i="4"/>
  <c r="H9" i="4"/>
  <c r="L9" i="4" s="1"/>
  <c r="G9" i="4"/>
  <c r="B9" i="4"/>
  <c r="F9" i="4" s="1"/>
  <c r="Y8" i="4"/>
  <c r="T8" i="4"/>
  <c r="W8" i="4" s="1"/>
  <c r="S8" i="4"/>
  <c r="N8" i="4"/>
  <c r="R8" i="4" s="1"/>
  <c r="M8" i="4"/>
  <c r="H8" i="4"/>
  <c r="K8" i="4" s="1"/>
  <c r="G8" i="4"/>
  <c r="B8" i="4"/>
  <c r="E8" i="4" s="1"/>
  <c r="Y7" i="4"/>
  <c r="T7" i="4"/>
  <c r="X7" i="4" s="1"/>
  <c r="S7" i="4"/>
  <c r="N7" i="4"/>
  <c r="R7" i="4" s="1"/>
  <c r="M7" i="4"/>
  <c r="H7" i="4"/>
  <c r="L7" i="4" s="1"/>
  <c r="G7" i="4"/>
  <c r="B7" i="4"/>
  <c r="F7" i="4" s="1"/>
  <c r="Y6" i="4"/>
  <c r="T6" i="4"/>
  <c r="X6" i="4" s="1"/>
  <c r="S6" i="4"/>
  <c r="N6" i="4"/>
  <c r="Q6" i="4" s="1"/>
  <c r="M6" i="4"/>
  <c r="H6" i="4"/>
  <c r="L6" i="4" s="1"/>
  <c r="G6" i="4"/>
  <c r="B6" i="4"/>
  <c r="E6" i="4" s="1"/>
  <c r="Y5" i="4"/>
  <c r="T5" i="4"/>
  <c r="X5" i="4" s="1"/>
  <c r="S5" i="4"/>
  <c r="N5" i="4"/>
  <c r="R5" i="4" s="1"/>
  <c r="M5" i="4"/>
  <c r="H5" i="4"/>
  <c r="L5" i="4" s="1"/>
  <c r="G5" i="4"/>
  <c r="B5" i="4"/>
  <c r="F5" i="4" s="1"/>
  <c r="Y4" i="4"/>
  <c r="T4" i="4"/>
  <c r="X4" i="4" s="1"/>
  <c r="S4" i="4"/>
  <c r="N4" i="4"/>
  <c r="Q4" i="4" s="1"/>
  <c r="M4" i="4"/>
  <c r="H4" i="4"/>
  <c r="L4" i="4" s="1"/>
  <c r="G4" i="4"/>
  <c r="B4" i="4"/>
  <c r="E4" i="4" s="1"/>
  <c r="E15" i="4" l="1"/>
  <c r="E13" i="4"/>
  <c r="Q13" i="4"/>
  <c r="K13" i="4"/>
  <c r="K12" i="4"/>
  <c r="F16" i="4"/>
  <c r="W14" i="4"/>
  <c r="X15" i="4"/>
  <c r="X16" i="4"/>
  <c r="Q16" i="4"/>
  <c r="X13" i="4"/>
  <c r="W12" i="4"/>
  <c r="Q12" i="4"/>
  <c r="Q14" i="4"/>
  <c r="R15" i="4"/>
  <c r="E12" i="4"/>
  <c r="AC6" i="4"/>
  <c r="F14" i="4"/>
  <c r="L14" i="4"/>
  <c r="AC9" i="4"/>
  <c r="AC7" i="4"/>
  <c r="AD8" i="4"/>
  <c r="AD5" i="4"/>
  <c r="AC11" i="4"/>
  <c r="AC10" i="4"/>
  <c r="AD4" i="4"/>
  <c r="X11" i="4"/>
  <c r="K9" i="4"/>
  <c r="K5" i="4"/>
  <c r="Q7" i="4"/>
  <c r="E9" i="4"/>
  <c r="Q11" i="4"/>
  <c r="F4" i="4"/>
  <c r="W9" i="4"/>
  <c r="X10" i="4"/>
  <c r="X8" i="4"/>
  <c r="W7" i="4"/>
  <c r="W5" i="4"/>
  <c r="Q9" i="4"/>
  <c r="R6" i="4"/>
  <c r="Q5" i="4"/>
  <c r="R4" i="4"/>
  <c r="K11" i="4"/>
  <c r="L10" i="4"/>
  <c r="L8" i="4"/>
  <c r="K7" i="4"/>
  <c r="E11" i="4"/>
  <c r="E7" i="4"/>
  <c r="F6" i="4"/>
  <c r="E5" i="4"/>
  <c r="F8" i="4"/>
  <c r="K4" i="4"/>
  <c r="W4" i="4"/>
  <c r="Q8" i="4"/>
  <c r="K6" i="4"/>
  <c r="W6" i="4"/>
  <c r="E10" i="4"/>
  <c r="Q10" i="4"/>
</calcChain>
</file>

<file path=xl/sharedStrings.xml><?xml version="1.0" encoding="utf-8"?>
<sst xmlns="http://schemas.openxmlformats.org/spreadsheetml/2006/main" count="74" uniqueCount="20">
  <si>
    <t>A</t>
  </si>
  <si>
    <t>B</t>
  </si>
  <si>
    <t>C</t>
  </si>
  <si>
    <t>dir.</t>
  </si>
  <si>
    <t>AS</t>
  </si>
  <si>
    <t>DL</t>
  </si>
  <si>
    <t>X</t>
  </si>
  <si>
    <t>AS+</t>
  </si>
  <si>
    <t>factory</t>
  </si>
  <si>
    <t>LEFT</t>
  </si>
  <si>
    <t>RIGHT</t>
  </si>
  <si>
    <t>left</t>
  </si>
  <si>
    <t>left.</t>
  </si>
  <si>
    <t>right</t>
  </si>
  <si>
    <t>symet</t>
  </si>
  <si>
    <t>symet.</t>
  </si>
  <si>
    <t>brake</t>
  </si>
  <si>
    <t>A'</t>
  </si>
  <si>
    <t>D</t>
  </si>
  <si>
    <t>Offset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</si>
</sst>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0;###0"/>
  </numFmts>
  <fonts count="4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544B77"/>
      <name val="Courier New"/>
      <family val="2"/>
    </font>
    <font>
      <sz val="9"/>
      <color theme="1"/>
      <name val="Calibri"/>
      <family val="2"/>
      <scheme val="minor"/>
    </font>
    <font>
      <sz val="9"/>
      <color theme="1"/>
      <name val="Courier New"/>
      <family val="2"/>
    </font>
    <font>
      <b/>
      <sz val="10"/>
      <color theme="1"/>
      <name val="Arial"/>
      <family val="2"/>
    </font>
    <font>
      <sz val="9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5" tint="-0.499984740745262"/>
      <name val="Calibri"/>
      <family val="2"/>
      <scheme val="minor"/>
    </font>
    <font>
      <b/>
      <sz val="10"/>
      <color theme="5" tint="-0.499984740745262"/>
      <name val="Arial"/>
      <family val="2"/>
    </font>
    <font>
      <sz val="9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6D6789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0"/>
      <color rgb="FF000000"/>
      <name val="Calibri Light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10"/>
      <name val="Arial"/>
      <family val="2"/>
    </font>
    <font>
      <sz val="10"/>
      <name val="Arial"/>
      <family val="2"/>
      <charset val="1"/>
    </font>
  </fonts>
  <fills count="3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theme="0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8">
    <xf numFmtId="0" fontId="0" fillId="0" borderId="0"/>
    <xf numFmtId="0" fontId="2" fillId="0" borderId="0"/>
    <xf numFmtId="0" fontId="4" fillId="0" borderId="0"/>
    <xf numFmtId="0" fontId="19" fillId="0" borderId="0"/>
    <xf numFmtId="0" fontId="2" fillId="0" borderId="0">
      <alignment horizontal="center"/>
    </xf>
    <xf numFmtId="0" fontId="2" fillId="0" borderId="0">
      <alignment horizontal="left"/>
    </xf>
    <xf numFmtId="0" fontId="21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19" fillId="0" borderId="0"/>
    <xf numFmtId="0" fontId="2" fillId="0" borderId="0">
      <alignment horizontal="left"/>
    </xf>
    <xf numFmtId="0" fontId="22" fillId="0" borderId="0">
      <alignment horizontal="left"/>
    </xf>
    <xf numFmtId="0" fontId="20" fillId="0" borderId="0">
      <alignment horizontal="left"/>
    </xf>
    <xf numFmtId="0" fontId="27" fillId="0" borderId="13" applyNumberFormat="0" applyFill="0" applyAlignment="0" applyProtection="0"/>
    <xf numFmtId="0" fontId="28" fillId="0" borderId="14" applyNumberFormat="0" applyFill="0" applyAlignment="0" applyProtection="0"/>
    <xf numFmtId="0" fontId="29" fillId="0" borderId="15" applyNumberFormat="0" applyFill="0" applyAlignment="0" applyProtection="0"/>
    <xf numFmtId="0" fontId="29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7" borderId="16" applyNumberFormat="0" applyAlignment="0" applyProtection="0"/>
    <xf numFmtId="0" fontId="33" fillId="8" borderId="17" applyNumberFormat="0" applyAlignment="0" applyProtection="0"/>
    <xf numFmtId="0" fontId="34" fillId="8" borderId="16" applyNumberFormat="0" applyAlignment="0" applyProtection="0"/>
    <xf numFmtId="0" fontId="35" fillId="0" borderId="18" applyNumberFormat="0" applyFill="0" applyAlignment="0" applyProtection="0"/>
    <xf numFmtId="0" fontId="36" fillId="9" borderId="19" applyNumberFormat="0" applyAlignment="0" applyProtection="0"/>
    <xf numFmtId="0" fontId="1" fillId="0" borderId="0" applyNumberFormat="0" applyFill="0" applyBorder="0" applyAlignment="0" applyProtection="0"/>
    <xf numFmtId="0" fontId="26" fillId="10" borderId="20" applyNumberFormat="0" applyFont="0" applyAlignment="0" applyProtection="0"/>
    <xf numFmtId="0" fontId="37" fillId="0" borderId="0" applyNumberFormat="0" applyFill="0" applyBorder="0" applyAlignment="0" applyProtection="0"/>
    <xf numFmtId="0" fontId="16" fillId="0" borderId="21" applyNumberFormat="0" applyFill="0" applyAlignment="0" applyProtection="0"/>
    <xf numFmtId="0" fontId="38" fillId="11" borderId="0" applyNumberFormat="0" applyBorder="0" applyAlignment="0" applyProtection="0"/>
    <xf numFmtId="0" fontId="26" fillId="12" borderId="0" applyNumberFormat="0" applyBorder="0" applyAlignment="0" applyProtection="0"/>
    <xf numFmtId="0" fontId="26" fillId="13" borderId="0" applyNumberFormat="0" applyBorder="0" applyAlignment="0" applyProtection="0"/>
    <xf numFmtId="0" fontId="38" fillId="15" borderId="0" applyNumberFormat="0" applyBorder="0" applyAlignment="0" applyProtection="0"/>
    <xf numFmtId="0" fontId="26" fillId="16" borderId="0" applyNumberFormat="0" applyBorder="0" applyAlignment="0" applyProtection="0"/>
    <xf numFmtId="0" fontId="26" fillId="17" borderId="0" applyNumberFormat="0" applyBorder="0" applyAlignment="0" applyProtection="0"/>
    <xf numFmtId="0" fontId="38" fillId="19" borderId="0" applyNumberFormat="0" applyBorder="0" applyAlignment="0" applyProtection="0"/>
    <xf numFmtId="0" fontId="26" fillId="20" borderId="0" applyNumberFormat="0" applyBorder="0" applyAlignment="0" applyProtection="0"/>
    <xf numFmtId="0" fontId="26" fillId="21" borderId="0" applyNumberFormat="0" applyBorder="0" applyAlignment="0" applyProtection="0"/>
    <xf numFmtId="0" fontId="38" fillId="23" borderId="0" applyNumberFormat="0" applyBorder="0" applyAlignment="0" applyProtection="0"/>
    <xf numFmtId="0" fontId="26" fillId="24" borderId="0" applyNumberFormat="0" applyBorder="0" applyAlignment="0" applyProtection="0"/>
    <xf numFmtId="0" fontId="26" fillId="25" borderId="0" applyNumberFormat="0" applyBorder="0" applyAlignment="0" applyProtection="0"/>
    <xf numFmtId="0" fontId="38" fillId="27" borderId="0" applyNumberFormat="0" applyBorder="0" applyAlignment="0" applyProtection="0"/>
    <xf numFmtId="0" fontId="26" fillId="28" borderId="0" applyNumberFormat="0" applyBorder="0" applyAlignment="0" applyProtection="0"/>
    <xf numFmtId="0" fontId="26" fillId="29" borderId="0" applyNumberFormat="0" applyBorder="0" applyAlignment="0" applyProtection="0"/>
    <xf numFmtId="0" fontId="38" fillId="31" borderId="0" applyNumberFormat="0" applyBorder="0" applyAlignment="0" applyProtection="0"/>
    <xf numFmtId="0" fontId="26" fillId="32" borderId="0" applyNumberFormat="0" applyBorder="0" applyAlignment="0" applyProtection="0"/>
    <xf numFmtId="0" fontId="26" fillId="33" borderId="0" applyNumberFormat="0" applyBorder="0" applyAlignment="0" applyProtection="0"/>
    <xf numFmtId="0" fontId="39" fillId="0" borderId="0" applyNumberFormat="0" applyFill="0" applyBorder="0" applyAlignment="0" applyProtection="0"/>
    <xf numFmtId="0" fontId="40" fillId="6" borderId="0" applyNumberFormat="0" applyBorder="0" applyAlignment="0" applyProtection="0"/>
    <xf numFmtId="0" fontId="38" fillId="14" borderId="0" applyNumberFormat="0" applyBorder="0" applyAlignment="0" applyProtection="0"/>
    <xf numFmtId="0" fontId="38" fillId="18" borderId="0" applyNumberFormat="0" applyBorder="0" applyAlignment="0" applyProtection="0"/>
    <xf numFmtId="0" fontId="38" fillId="22" borderId="0" applyNumberFormat="0" applyBorder="0" applyAlignment="0" applyProtection="0"/>
    <xf numFmtId="0" fontId="38" fillId="26" borderId="0" applyNumberFormat="0" applyBorder="0" applyAlignment="0" applyProtection="0"/>
    <xf numFmtId="0" fontId="38" fillId="30" borderId="0" applyNumberFormat="0" applyBorder="0" applyAlignment="0" applyProtection="0"/>
    <xf numFmtId="0" fontId="38" fillId="34" borderId="0" applyNumberFormat="0" applyBorder="0" applyAlignment="0" applyProtection="0"/>
    <xf numFmtId="0" fontId="2" fillId="0" borderId="0"/>
    <xf numFmtId="0" fontId="41" fillId="0" borderId="0"/>
    <xf numFmtId="0" fontId="42" fillId="0" borderId="0"/>
  </cellStyleXfs>
  <cellXfs count="85">
    <xf numFmtId="0" fontId="0" fillId="0" borderId="0" xfId="0"/>
    <xf numFmtId="1" fontId="0" fillId="0" borderId="0" xfId="0" applyNumberFormat="1" applyAlignment="1">
      <alignment horizontal="center"/>
    </xf>
    <xf numFmtId="1" fontId="0" fillId="0" borderId="0" xfId="0" applyNumberFormat="1"/>
    <xf numFmtId="1" fontId="1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64" fontId="5" fillId="0" borderId="0" xfId="2" applyNumberFormat="1" applyFont="1" applyAlignment="1">
      <alignment horizontal="left" vertical="top" wrapText="1"/>
    </xf>
    <xf numFmtId="1" fontId="0" fillId="0" borderId="0" xfId="0" applyNumberFormat="1" applyAlignment="1">
      <alignment horizontal="center" vertical="center"/>
    </xf>
    <xf numFmtId="164" fontId="7" fillId="0" borderId="0" xfId="2" applyNumberFormat="1" applyFont="1" applyAlignment="1">
      <alignment horizontal="left" vertical="top" wrapText="1"/>
    </xf>
    <xf numFmtId="0" fontId="6" fillId="0" borderId="0" xfId="0" applyFont="1"/>
    <xf numFmtId="1" fontId="10" fillId="0" borderId="3" xfId="0" applyNumberFormat="1" applyFont="1" applyBorder="1" applyAlignment="1">
      <alignment horizontal="center"/>
    </xf>
    <xf numFmtId="1" fontId="8" fillId="0" borderId="7" xfId="1" applyNumberFormat="1" applyFont="1" applyBorder="1" applyAlignment="1">
      <alignment horizontal="center"/>
    </xf>
    <xf numFmtId="1" fontId="8" fillId="0" borderId="8" xfId="1" applyNumberFormat="1" applyFont="1" applyBorder="1" applyAlignment="1">
      <alignment horizontal="center"/>
    </xf>
    <xf numFmtId="1" fontId="11" fillId="0" borderId="0" xfId="0" applyNumberFormat="1" applyFont="1" applyAlignment="1">
      <alignment horizontal="center" vertical="center"/>
    </xf>
    <xf numFmtId="0" fontId="11" fillId="0" borderId="0" xfId="0" applyFont="1"/>
    <xf numFmtId="1" fontId="11" fillId="0" borderId="4" xfId="0" applyNumberFormat="1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1" xfId="0" applyNumberFormat="1" applyBorder="1"/>
    <xf numFmtId="1" fontId="0" fillId="0" borderId="2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" fontId="0" fillId="0" borderId="3" xfId="0" applyNumberFormat="1" applyBorder="1"/>
    <xf numFmtId="1" fontId="0" fillId="0" borderId="8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4" xfId="0" applyNumberFormat="1" applyBorder="1"/>
    <xf numFmtId="1" fontId="0" fillId="0" borderId="5" xfId="0" applyNumberFormat="1" applyBorder="1"/>
    <xf numFmtId="1" fontId="6" fillId="0" borderId="6" xfId="0" applyNumberFormat="1" applyFont="1" applyBorder="1" applyAlignment="1">
      <alignment horizontal="center"/>
    </xf>
    <xf numFmtId="1" fontId="13" fillId="0" borderId="1" xfId="0" applyNumberFormat="1" applyFont="1" applyBorder="1" applyAlignment="1">
      <alignment horizontal="center" vertical="center"/>
    </xf>
    <xf numFmtId="1" fontId="9" fillId="0" borderId="1" xfId="0" applyNumberFormat="1" applyFont="1" applyBorder="1" applyAlignment="1">
      <alignment horizontal="center" vertical="center"/>
    </xf>
    <xf numFmtId="1" fontId="6" fillId="0" borderId="2" xfId="0" applyNumberFormat="1" applyFont="1" applyBorder="1"/>
    <xf numFmtId="1" fontId="6" fillId="0" borderId="6" xfId="0" applyNumberFormat="1" applyFont="1" applyBorder="1"/>
    <xf numFmtId="164" fontId="10" fillId="0" borderId="7" xfId="2" applyNumberFormat="1" applyFont="1" applyBorder="1" applyAlignment="1">
      <alignment horizontal="center" vertical="top" wrapText="1"/>
    </xf>
    <xf numFmtId="1" fontId="0" fillId="0" borderId="7" xfId="0" applyNumberFormat="1" applyBorder="1"/>
    <xf numFmtId="1" fontId="0" fillId="0" borderId="8" xfId="0" applyNumberFormat="1" applyBorder="1"/>
    <xf numFmtId="1" fontId="15" fillId="0" borderId="0" xfId="0" applyNumberFormat="1" applyFont="1" applyAlignment="1">
      <alignment horizontal="center" vertical="center"/>
    </xf>
    <xf numFmtId="1" fontId="11" fillId="0" borderId="0" xfId="0" applyNumberFormat="1" applyFont="1"/>
    <xf numFmtId="1" fontId="8" fillId="0" borderId="0" xfId="1" applyNumberFormat="1" applyFont="1" applyAlignment="1">
      <alignment horizontal="center"/>
    </xf>
    <xf numFmtId="1" fontId="1" fillId="0" borderId="12" xfId="0" applyNumberFormat="1" applyFont="1" applyBorder="1" applyAlignment="1">
      <alignment horizontal="center" vertical="center"/>
    </xf>
    <xf numFmtId="1" fontId="0" fillId="0" borderId="0" xfId="0" applyNumberFormat="1" applyAlignment="1">
      <alignment horizontal="left"/>
    </xf>
    <xf numFmtId="164" fontId="17" fillId="0" borderId="0" xfId="2" applyNumberFormat="1" applyFont="1" applyAlignment="1">
      <alignment horizontal="left" vertical="top" wrapText="1"/>
    </xf>
    <xf numFmtId="164" fontId="6" fillId="0" borderId="0" xfId="2" applyNumberFormat="1" applyFont="1" applyAlignment="1">
      <alignment horizontal="left" vertical="top" wrapText="1"/>
    </xf>
    <xf numFmtId="0" fontId="18" fillId="0" borderId="0" xfId="2" applyFont="1" applyAlignment="1">
      <alignment horizontal="left" vertical="top" wrapText="1"/>
    </xf>
    <xf numFmtId="164" fontId="16" fillId="0" borderId="0" xfId="2" applyNumberFormat="1" applyFont="1" applyAlignment="1">
      <alignment horizontal="center" vertical="top" wrapText="1"/>
    </xf>
    <xf numFmtId="1" fontId="10" fillId="0" borderId="7" xfId="0" applyNumberFormat="1" applyFont="1" applyBorder="1" applyAlignment="1">
      <alignment horizontal="center"/>
    </xf>
    <xf numFmtId="1" fontId="23" fillId="0" borderId="6" xfId="0" applyNumberFormat="1" applyFont="1" applyBorder="1"/>
    <xf numFmtId="164" fontId="24" fillId="0" borderId="7" xfId="2" applyNumberFormat="1" applyFont="1" applyBorder="1" applyAlignment="1">
      <alignment horizontal="center" vertical="top" wrapText="1"/>
    </xf>
    <xf numFmtId="1" fontId="3" fillId="35" borderId="3" xfId="0" applyNumberFormat="1" applyFont="1" applyFill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8" fillId="0" borderId="0" xfId="1" applyNumberFormat="1" applyFont="1" applyAlignment="1">
      <alignment horizontal="right"/>
    </xf>
    <xf numFmtId="1" fontId="6" fillId="0" borderId="0" xfId="0" applyNumberFormat="1" applyFont="1"/>
    <xf numFmtId="1" fontId="0" fillId="36" borderId="7" xfId="0" applyNumberFormat="1" applyFill="1" applyBorder="1"/>
    <xf numFmtId="1" fontId="16" fillId="0" borderId="6" xfId="0" applyNumberFormat="1" applyFont="1" applyBorder="1" applyAlignment="1">
      <alignment horizontal="center"/>
    </xf>
    <xf numFmtId="1" fontId="11" fillId="0" borderId="1" xfId="0" applyNumberFormat="1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0" fillId="0" borderId="6" xfId="0" applyNumberFormat="1" applyBorder="1" applyAlignment="1">
      <alignment horizontal="center"/>
    </xf>
    <xf numFmtId="0" fontId="0" fillId="3" borderId="0" xfId="0" applyFill="1"/>
    <xf numFmtId="1" fontId="12" fillId="0" borderId="10" xfId="1" applyNumberFormat="1" applyFont="1" applyBorder="1" applyAlignment="1">
      <alignment horizontal="center"/>
    </xf>
    <xf numFmtId="1" fontId="8" fillId="0" borderId="10" xfId="1" applyNumberFormat="1" applyFont="1" applyBorder="1" applyAlignment="1">
      <alignment horizontal="center"/>
    </xf>
    <xf numFmtId="1" fontId="8" fillId="0" borderId="9" xfId="1" applyNumberFormat="1" applyFont="1" applyBorder="1" applyAlignment="1">
      <alignment horizontal="center"/>
    </xf>
    <xf numFmtId="1" fontId="8" fillId="0" borderId="11" xfId="1" applyNumberFormat="1" applyFont="1" applyBorder="1" applyAlignment="1">
      <alignment horizontal="center"/>
    </xf>
    <xf numFmtId="0" fontId="25" fillId="3" borderId="0" xfId="0" applyFont="1" applyFill="1" applyAlignment="1">
      <alignment horizontal="right" vertical="center"/>
    </xf>
    <xf numFmtId="1" fontId="14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0" fontId="0" fillId="0" borderId="3" xfId="0" applyBorder="1"/>
    <xf numFmtId="1" fontId="3" fillId="0" borderId="4" xfId="0" applyNumberFormat="1" applyFont="1" applyBorder="1" applyAlignment="1">
      <alignment horizontal="center" vertic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1" fontId="1" fillId="0" borderId="0" xfId="0" applyNumberFormat="1" applyFont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0" fontId="6" fillId="2" borderId="12" xfId="0" applyFont="1" applyFill="1" applyBorder="1" applyAlignment="1"/>
    <xf numFmtId="1" fontId="6" fillId="2" borderId="12" xfId="0" applyNumberFormat="1" applyFont="1" applyFill="1" applyBorder="1" applyAlignment="1"/>
    <xf numFmtId="164" fontId="6" fillId="2" borderId="12" xfId="2" applyNumberFormat="1" applyFont="1" applyFill="1" applyBorder="1" applyAlignment="1">
      <alignment vertical="top" wrapText="1"/>
    </xf>
    <xf numFmtId="0" fontId="6" fillId="3" borderId="22" xfId="0" applyFont="1" applyFill="1" applyBorder="1" applyAlignment="1"/>
    <xf numFmtId="1" fontId="6" fillId="2" borderId="12" xfId="0" applyNumberFormat="1" applyFont="1" applyFill="1" applyBorder="1" applyAlignment="1">
      <alignment vertical="center"/>
    </xf>
    <xf numFmtId="0" fontId="6" fillId="0" borderId="0" xfId="0" applyFont="1" applyAlignment="1"/>
    <xf numFmtId="0" fontId="6" fillId="2" borderId="12" xfId="2" applyFont="1" applyFill="1" applyBorder="1" applyAlignment="1">
      <alignment vertical="top" wrapText="1"/>
    </xf>
    <xf numFmtId="1" fontId="9" fillId="0" borderId="0" xfId="0" applyNumberFormat="1" applyFont="1" applyAlignment="1">
      <alignment vertical="center"/>
    </xf>
    <xf numFmtId="1" fontId="13" fillId="0" borderId="0" xfId="0" applyNumberFormat="1" applyFont="1" applyAlignment="1">
      <alignment vertical="center"/>
    </xf>
    <xf numFmtId="1" fontId="6" fillId="0" borderId="0" xfId="0" applyNumberFormat="1" applyFont="1" applyAlignment="1">
      <alignment vertical="center"/>
    </xf>
    <xf numFmtId="0" fontId="6" fillId="2" borderId="0" xfId="0" applyFont="1" applyFill="1" applyAlignment="1"/>
  </cellXfs>
  <cellStyles count="58">
    <cellStyle name="20% - Accent1" xfId="30" builtinId="30" customBuiltin="1"/>
    <cellStyle name="20% - Accent2" xfId="33" builtinId="34" customBuiltin="1"/>
    <cellStyle name="20% - Accent3" xfId="36" builtinId="38" customBuiltin="1"/>
    <cellStyle name="20% - Accent4" xfId="39" builtinId="42" customBuiltin="1"/>
    <cellStyle name="20% - Accent5" xfId="42" builtinId="46" customBuiltin="1"/>
    <cellStyle name="20% - Accent6" xfId="45" builtinId="50" customBuiltin="1"/>
    <cellStyle name="40% - Accent1" xfId="31" builtinId="31" customBuiltin="1"/>
    <cellStyle name="40% - Accent2" xfId="34" builtinId="35" customBuiltin="1"/>
    <cellStyle name="40% - Accent3" xfId="37" builtinId="39" customBuiltin="1"/>
    <cellStyle name="40% - Accent4" xfId="40" builtinId="43" customBuiltin="1"/>
    <cellStyle name="40% - Accent5" xfId="43" builtinId="47" customBuiltin="1"/>
    <cellStyle name="40% - Accent6" xfId="46" builtinId="51" customBuiltin="1"/>
    <cellStyle name="60% - Accent1 2" xfId="49" xr:uid="{597D2A4B-C232-4DFB-9FEC-909CD55AE298}"/>
    <cellStyle name="60% - Accent2 2" xfId="50" xr:uid="{FD1115F7-1902-4E94-AB92-45DB8520D553}"/>
    <cellStyle name="60% - Accent3 2" xfId="51" xr:uid="{6841285F-30D0-4817-97A0-01A638209880}"/>
    <cellStyle name="60% - Accent4 2" xfId="52" xr:uid="{D695F35C-3585-40D7-93AA-BACF1E20B020}"/>
    <cellStyle name="60% - Accent5 2" xfId="53" xr:uid="{52A6CE30-51A3-488D-8BFA-A1325D76A4F4}"/>
    <cellStyle name="60% - Accent6 2" xfId="54" xr:uid="{6D1C1AC1-0786-4529-80AE-8BC12423E0E6}"/>
    <cellStyle name="Accent1" xfId="29" builtinId="29" customBuiltin="1"/>
    <cellStyle name="Accent2" xfId="32" builtinId="33" customBuiltin="1"/>
    <cellStyle name="Accent3" xfId="35" builtinId="37" customBuiltin="1"/>
    <cellStyle name="Accent4" xfId="38" builtinId="41" customBuiltin="1"/>
    <cellStyle name="Accent5" xfId="41" builtinId="45" customBuiltin="1"/>
    <cellStyle name="Accent6" xfId="44" builtinId="49" customBuiltin="1"/>
    <cellStyle name="Bad" xfId="19" builtinId="27" customBuiltin="1"/>
    <cellStyle name="Calculation" xfId="22" builtinId="22" customBuiltin="1"/>
    <cellStyle name="Center" xfId="4" xr:uid="{00000000-0005-0000-0000-000000000000}"/>
    <cellStyle name="Check Cell" xfId="24" builtinId="23" customBuiltin="1"/>
    <cellStyle name="Excel Built-in Normal" xfId="57" xr:uid="{DAB2273B-0513-4A31-BE5F-E317C33D3577}"/>
    <cellStyle name="Explanatory Text" xfId="27" builtinId="53" customBuiltin="1"/>
    <cellStyle name="Good" xfId="18" builtinId="26" customBuiltin="1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Heading 1" xfId="14" builtinId="16" customBuiltin="1"/>
    <cellStyle name="Heading 2" xfId="15" builtinId="17" customBuiltin="1"/>
    <cellStyle name="Heading 3" xfId="16" builtinId="18" customBuiltin="1"/>
    <cellStyle name="Heading 4" xfId="17" builtinId="19" customBuiltin="1"/>
    <cellStyle name="Input" xfId="20" builtinId="20" customBuiltin="1"/>
    <cellStyle name="Linked Cell" xfId="23" builtinId="24" customBuiltin="1"/>
    <cellStyle name="Material" xfId="9" xr:uid="{00000000-0005-0000-0000-000006000000}"/>
    <cellStyle name="Material 2" xfId="55" xr:uid="{0CB96570-BF01-4799-8B7D-BAD5772D1129}"/>
    <cellStyle name="Neutral 2" xfId="48" xr:uid="{C41DC47F-0045-4A08-9573-02CE75FD370B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Normal 4" xfId="56" xr:uid="{FC2E564E-5525-472D-AC82-6CA68948FB9A}"/>
    <cellStyle name="Note" xfId="26" builtinId="10" customBuiltin="1"/>
    <cellStyle name="Output" xfId="21" builtinId="21" customBuiltin="1"/>
    <cellStyle name="Proto" xfId="11" xr:uid="{00000000-0005-0000-0000-00000B000000}"/>
    <cellStyle name="Remark" xfId="12" xr:uid="{00000000-0005-0000-0000-00000C000000}"/>
    <cellStyle name="Title" xfId="13" xr:uid="{00000000-0005-0000-0000-00000D000000}"/>
    <cellStyle name="Title 2" xfId="47" xr:uid="{7A09C394-57E3-40C1-A698-217353B06DD0}"/>
    <cellStyle name="Total" xfId="28" builtinId="25" customBuiltin="1"/>
    <cellStyle name="Warning Text" xfId="25" builtinId="11" customBuiltin="1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26</xdr:row>
      <xdr:rowOff>10584</xdr:rowOff>
    </xdr:from>
    <xdr:to>
      <xdr:col>29</xdr:col>
      <xdr:colOff>224894</xdr:colOff>
      <xdr:row>66</xdr:row>
      <xdr:rowOff>19019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59A0A8-5F1B-4C9F-92AD-93704D78A4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83" t="11665"/>
        <a:stretch/>
      </xdr:blipFill>
      <xdr:spPr>
        <a:xfrm>
          <a:off x="0" y="4931834"/>
          <a:ext cx="12406311" cy="769193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A4FBA-F9D3-433A-801A-01A1F8201F75}">
  <dimension ref="A1:AU43"/>
  <sheetViews>
    <sheetView tabSelected="1" topLeftCell="H1" zoomScale="90" zoomScaleNormal="90" workbookViewId="0">
      <selection activeCell="AI30" sqref="AI30"/>
    </sheetView>
  </sheetViews>
  <sheetFormatPr defaultRowHeight="15" x14ac:dyDescent="0.25"/>
  <cols>
    <col min="1" max="1" width="5.5703125" customWidth="1"/>
    <col min="2" max="2" width="7" customWidth="1"/>
    <col min="3" max="3" width="5.5703125" style="13" customWidth="1"/>
    <col min="4" max="4" width="5.5703125" customWidth="1"/>
    <col min="5" max="5" width="5.5703125" style="13" customWidth="1"/>
    <col min="6" max="7" width="5.5703125" customWidth="1"/>
    <col min="8" max="8" width="6.85546875" customWidth="1"/>
    <col min="9" max="9" width="5.5703125" style="13" customWidth="1"/>
    <col min="10" max="10" width="5.5703125" customWidth="1"/>
    <col min="11" max="11" width="6.5703125" style="13" customWidth="1"/>
    <col min="12" max="13" width="5.5703125" customWidth="1"/>
    <col min="14" max="14" width="7" customWidth="1"/>
    <col min="15" max="15" width="5.5703125" style="13" customWidth="1"/>
    <col min="16" max="16" width="5.5703125" customWidth="1"/>
    <col min="17" max="17" width="5.5703125" style="13" customWidth="1"/>
    <col min="18" max="18" width="5.5703125" customWidth="1"/>
    <col min="19" max="19" width="10.85546875" customWidth="1"/>
    <col min="20" max="20" width="10.42578125" customWidth="1"/>
    <col min="21" max="21" width="5.5703125" style="13" customWidth="1"/>
    <col min="22" max="22" width="5.5703125" customWidth="1"/>
    <col min="23" max="23" width="5.5703125" style="13" customWidth="1"/>
    <col min="24" max="25" width="5.5703125" customWidth="1"/>
    <col min="26" max="26" width="8.85546875" customWidth="1"/>
    <col min="27" max="27" width="5.5703125" customWidth="1"/>
    <col min="28" max="28" width="7" customWidth="1"/>
    <col min="29" max="29" width="7.140625" customWidth="1"/>
    <col min="30" max="33" width="7.42578125" customWidth="1"/>
  </cols>
  <sheetData>
    <row r="1" spans="1:47" ht="15.75" thickBot="1" x14ac:dyDescent="0.3">
      <c r="A1" s="1"/>
      <c r="B1" s="2"/>
      <c r="C1" s="12"/>
      <c r="D1" s="4"/>
      <c r="E1" s="12"/>
      <c r="F1" s="4"/>
      <c r="G1" s="3"/>
      <c r="H1" s="2"/>
      <c r="I1" s="12"/>
      <c r="J1" s="4"/>
      <c r="K1" s="12"/>
      <c r="L1" s="4"/>
      <c r="M1" s="3"/>
      <c r="N1" s="2"/>
      <c r="O1" s="12"/>
      <c r="P1" s="4"/>
      <c r="Q1" s="12"/>
      <c r="R1" s="4"/>
      <c r="S1" s="3"/>
      <c r="T1" s="2"/>
      <c r="U1" s="12"/>
      <c r="V1" s="4"/>
      <c r="W1" s="12"/>
      <c r="X1" s="4"/>
      <c r="Y1" s="3"/>
      <c r="Z1" s="2"/>
      <c r="AA1" s="12"/>
      <c r="AB1" s="4"/>
      <c r="AC1" s="12"/>
      <c r="AD1" s="4"/>
      <c r="AE1" s="3"/>
      <c r="AF1" s="2"/>
      <c r="AG1" s="12"/>
      <c r="AH1" s="4"/>
      <c r="AI1" s="12"/>
      <c r="AJ1" s="4"/>
      <c r="AK1" s="3"/>
      <c r="AM1" s="3"/>
      <c r="AN1" s="3"/>
      <c r="AO1" s="3"/>
      <c r="AP1" s="2"/>
      <c r="AQ1" s="2"/>
      <c r="AR1" s="2"/>
      <c r="AS1" s="2"/>
      <c r="AT1" s="2"/>
      <c r="AU1" s="2"/>
    </row>
    <row r="2" spans="1:47" ht="15.75" thickBot="1" x14ac:dyDescent="0.3">
      <c r="A2" s="48"/>
      <c r="B2" s="60" t="s">
        <v>0</v>
      </c>
      <c r="C2" s="58"/>
      <c r="D2" s="59"/>
      <c r="E2" s="58"/>
      <c r="F2" s="59"/>
      <c r="G2" s="61"/>
      <c r="H2" s="60" t="s">
        <v>17</v>
      </c>
      <c r="I2" s="58"/>
      <c r="J2" s="59"/>
      <c r="K2" s="58"/>
      <c r="L2" s="59"/>
      <c r="M2" s="61"/>
      <c r="N2" s="59" t="s">
        <v>1</v>
      </c>
      <c r="O2" s="58"/>
      <c r="P2" s="59"/>
      <c r="Q2" s="58"/>
      <c r="R2" s="59"/>
      <c r="S2" s="61"/>
      <c r="T2" s="59" t="s">
        <v>2</v>
      </c>
      <c r="U2" s="58"/>
      <c r="V2" s="59"/>
      <c r="W2" s="58"/>
      <c r="X2" s="59"/>
      <c r="Y2" s="61"/>
      <c r="Z2" s="59" t="s">
        <v>18</v>
      </c>
      <c r="AA2" s="58"/>
      <c r="AB2" s="59"/>
      <c r="AC2" s="58"/>
      <c r="AD2" s="59"/>
      <c r="AE2" s="61"/>
      <c r="AF2" s="52" t="s">
        <v>16</v>
      </c>
      <c r="AG2" s="17"/>
      <c r="AH2" s="53"/>
      <c r="AI2" s="54"/>
      <c r="AJ2" s="53"/>
      <c r="AK2" s="55"/>
      <c r="AM2" s="49"/>
      <c r="AN2" s="43" t="s">
        <v>0</v>
      </c>
      <c r="AO2" s="43" t="s">
        <v>17</v>
      </c>
      <c r="AP2" s="43" t="s">
        <v>1</v>
      </c>
      <c r="AQ2" s="43" t="s">
        <v>2</v>
      </c>
      <c r="AR2" s="43" t="s">
        <v>18</v>
      </c>
      <c r="AU2" s="40"/>
    </row>
    <row r="3" spans="1:47" s="8" customFormat="1" x14ac:dyDescent="0.25">
      <c r="A3" s="27"/>
      <c r="B3" s="45" t="s">
        <v>8</v>
      </c>
      <c r="C3" s="28" t="s">
        <v>9</v>
      </c>
      <c r="D3" s="29" t="s">
        <v>10</v>
      </c>
      <c r="E3" s="28" t="s">
        <v>11</v>
      </c>
      <c r="F3" s="29" t="s">
        <v>13</v>
      </c>
      <c r="G3" s="30" t="s">
        <v>14</v>
      </c>
      <c r="H3" s="45" t="s">
        <v>8</v>
      </c>
      <c r="I3" s="28" t="s">
        <v>9</v>
      </c>
      <c r="J3" s="29" t="s">
        <v>10</v>
      </c>
      <c r="K3" s="28" t="s">
        <v>11</v>
      </c>
      <c r="L3" s="29" t="s">
        <v>13</v>
      </c>
      <c r="M3" s="30" t="s">
        <v>15</v>
      </c>
      <c r="N3" s="45" t="s">
        <v>8</v>
      </c>
      <c r="O3" s="28" t="s">
        <v>9</v>
      </c>
      <c r="P3" s="29" t="s">
        <v>10</v>
      </c>
      <c r="Q3" s="28" t="s">
        <v>11</v>
      </c>
      <c r="R3" s="29" t="s">
        <v>3</v>
      </c>
      <c r="S3" s="30" t="s">
        <v>14</v>
      </c>
      <c r="T3" s="31" t="s">
        <v>8</v>
      </c>
      <c r="U3" s="28" t="s">
        <v>9</v>
      </c>
      <c r="V3" s="29" t="s">
        <v>10</v>
      </c>
      <c r="W3" s="28" t="s">
        <v>12</v>
      </c>
      <c r="X3" s="29" t="s">
        <v>13</v>
      </c>
      <c r="Y3" s="30" t="s">
        <v>14</v>
      </c>
      <c r="Z3" s="31" t="s">
        <v>8</v>
      </c>
      <c r="AA3" s="28" t="s">
        <v>9</v>
      </c>
      <c r="AB3" s="29" t="s">
        <v>10</v>
      </c>
      <c r="AC3" s="28" t="s">
        <v>12</v>
      </c>
      <c r="AD3" s="29" t="s">
        <v>13</v>
      </c>
      <c r="AE3" s="30" t="s">
        <v>14</v>
      </c>
      <c r="AF3" s="56" t="s">
        <v>8</v>
      </c>
      <c r="AG3" s="17" t="s">
        <v>9</v>
      </c>
      <c r="AH3" s="53" t="s">
        <v>10</v>
      </c>
      <c r="AI3" s="54" t="s">
        <v>12</v>
      </c>
      <c r="AJ3" s="53" t="s">
        <v>13</v>
      </c>
      <c r="AK3" s="55" t="s">
        <v>14</v>
      </c>
      <c r="AL3"/>
      <c r="AM3" s="50"/>
      <c r="AN3" s="50"/>
      <c r="AO3" s="50"/>
      <c r="AP3" s="7"/>
      <c r="AQ3" s="41"/>
      <c r="AR3" s="41"/>
      <c r="AS3" s="41"/>
      <c r="AT3" s="41"/>
      <c r="AU3" s="41"/>
    </row>
    <row r="4" spans="1:47" x14ac:dyDescent="0.25">
      <c r="A4" s="10">
        <v>1</v>
      </c>
      <c r="B4" s="46">
        <f t="shared" ref="B4:B11" si="0">AN4+$M$24</f>
        <v>7202</v>
      </c>
      <c r="C4"/>
      <c r="E4" s="12">
        <f>C4-B4</f>
        <v>-7202</v>
      </c>
      <c r="F4" s="4">
        <f>D4-B4</f>
        <v>-7202</v>
      </c>
      <c r="G4" s="9">
        <f>C4-D4</f>
        <v>0</v>
      </c>
      <c r="H4" s="46">
        <f t="shared" ref="H4:H11" si="1">AO4+$M$24</f>
        <v>7165</v>
      </c>
      <c r="I4" s="12"/>
      <c r="J4" s="4"/>
      <c r="K4" s="12">
        <f>I4-H4</f>
        <v>-7165</v>
      </c>
      <c r="L4" s="4">
        <f>J4-H4</f>
        <v>-7165</v>
      </c>
      <c r="M4" s="9">
        <f>I4-J4</f>
        <v>0</v>
      </c>
      <c r="N4" s="46">
        <f t="shared" ref="N4:N11" si="2">AP4+$M$24</f>
        <v>7058</v>
      </c>
      <c r="O4"/>
      <c r="Q4" s="12">
        <f>O4-N4</f>
        <v>-7058</v>
      </c>
      <c r="R4" s="4">
        <f>P4-N4</f>
        <v>-7058</v>
      </c>
      <c r="S4" s="9">
        <f>O4-P4</f>
        <v>0</v>
      </c>
      <c r="T4" s="46">
        <f t="shared" ref="T4:T11" si="3">AQ4+$M$24</f>
        <v>7147.7</v>
      </c>
      <c r="U4" s="12"/>
      <c r="V4" s="4"/>
      <c r="W4" s="12">
        <f>U4-T4</f>
        <v>-7147.7</v>
      </c>
      <c r="X4" s="4">
        <f>V4-T4</f>
        <v>-7147.7</v>
      </c>
      <c r="Y4" s="9">
        <f>U4-V4</f>
        <v>0</v>
      </c>
      <c r="Z4" s="46">
        <f t="shared" ref="Z4:Z11" si="4">AR4+$M$24</f>
        <v>7252.6</v>
      </c>
      <c r="AA4" s="12"/>
      <c r="AB4" s="4"/>
      <c r="AC4" s="12">
        <f>AA4-Z4</f>
        <v>-7252.6</v>
      </c>
      <c r="AD4" s="4">
        <f>AB4-Z4</f>
        <v>-7252.6</v>
      </c>
      <c r="AE4" s="9">
        <f>AA4-AB4</f>
        <v>0</v>
      </c>
      <c r="AF4" s="51">
        <v>7326.1</v>
      </c>
      <c r="AI4" s="4">
        <f>AF4-AG4</f>
        <v>7326.1</v>
      </c>
      <c r="AJ4" s="4">
        <f>AF4-AH4</f>
        <v>7326.1</v>
      </c>
      <c r="AK4" s="47">
        <f>AG4-AH4</f>
        <v>0</v>
      </c>
      <c r="AM4" s="5"/>
      <c r="AN4" s="74">
        <v>7202</v>
      </c>
      <c r="AO4" s="74">
        <v>7165</v>
      </c>
      <c r="AP4" s="75">
        <v>7058</v>
      </c>
      <c r="AQ4" s="75">
        <v>7147.7</v>
      </c>
      <c r="AR4" s="76">
        <v>7252.6</v>
      </c>
      <c r="AS4" s="77">
        <v>30</v>
      </c>
    </row>
    <row r="5" spans="1:47" x14ac:dyDescent="0.25">
      <c r="A5" s="10">
        <v>2</v>
      </c>
      <c r="B5" s="46">
        <f t="shared" si="0"/>
        <v>7164</v>
      </c>
      <c r="C5"/>
      <c r="E5" s="12">
        <f t="shared" ref="E5:E16" si="5">C5-B5</f>
        <v>-7164</v>
      </c>
      <c r="F5" s="4">
        <f t="shared" ref="F5:F16" si="6">D5-B5</f>
        <v>-7164</v>
      </c>
      <c r="G5" s="9">
        <f t="shared" ref="G5:G16" si="7">C5-D5</f>
        <v>0</v>
      </c>
      <c r="H5" s="46">
        <f t="shared" si="1"/>
        <v>7126</v>
      </c>
      <c r="I5" s="12"/>
      <c r="J5" s="4"/>
      <c r="K5" s="12">
        <f t="shared" ref="K5:K14" si="8">I5-H5</f>
        <v>-7126</v>
      </c>
      <c r="L5" s="4">
        <f t="shared" ref="L5:L14" si="9">J5-H5</f>
        <v>-7126</v>
      </c>
      <c r="M5" s="9">
        <f t="shared" ref="M5:M14" si="10">I5-J5</f>
        <v>0</v>
      </c>
      <c r="N5" s="46">
        <f t="shared" si="2"/>
        <v>7029</v>
      </c>
      <c r="O5"/>
      <c r="Q5" s="12">
        <f t="shared" ref="Q5:Q16" si="11">O5-N5</f>
        <v>-7029</v>
      </c>
      <c r="R5" s="4">
        <f t="shared" ref="R5:R16" si="12">P5-N5</f>
        <v>-7029</v>
      </c>
      <c r="S5" s="9">
        <f t="shared" ref="S5:S16" si="13">O5-P5</f>
        <v>0</v>
      </c>
      <c r="T5" s="46">
        <f t="shared" si="3"/>
        <v>7109.7</v>
      </c>
      <c r="U5" s="12"/>
      <c r="V5" s="4"/>
      <c r="W5" s="12">
        <f t="shared" ref="W5:W16" si="14">U5-T5</f>
        <v>-7109.7</v>
      </c>
      <c r="X5" s="4">
        <f t="shared" ref="X5:X16" si="15">V5-T5</f>
        <v>-7109.7</v>
      </c>
      <c r="Y5" s="9">
        <f t="shared" ref="Y5:Y16" si="16">U5-V5</f>
        <v>0</v>
      </c>
      <c r="Z5" s="46">
        <f t="shared" si="4"/>
        <v>7218</v>
      </c>
      <c r="AA5" s="12"/>
      <c r="AB5" s="4"/>
      <c r="AC5" s="12">
        <f t="shared" ref="AC5:AC11" si="17">AA5-Z5</f>
        <v>-7218</v>
      </c>
      <c r="AD5" s="4">
        <f t="shared" ref="AD5:AD11" si="18">AB5-Z5</f>
        <v>-7218</v>
      </c>
      <c r="AE5" s="9">
        <f t="shared" ref="AE5:AE11" si="19">AA5-AB5</f>
        <v>0</v>
      </c>
      <c r="AF5" s="51">
        <v>7102.8</v>
      </c>
      <c r="AI5" s="4">
        <f t="shared" ref="AI5:AI14" si="20">AF5-AG5</f>
        <v>7102.8</v>
      </c>
      <c r="AJ5" s="4">
        <f t="shared" ref="AJ5:AJ15" si="21">AF5-AH5</f>
        <v>7102.8</v>
      </c>
      <c r="AK5" s="47">
        <f t="shared" ref="AK5:AK15" si="22">AG5-AH5</f>
        <v>0</v>
      </c>
      <c r="AM5" s="5"/>
      <c r="AN5" s="74">
        <v>7164</v>
      </c>
      <c r="AO5" s="78">
        <v>7126</v>
      </c>
      <c r="AP5" s="75">
        <v>7029</v>
      </c>
      <c r="AQ5" s="75">
        <v>7109.7</v>
      </c>
      <c r="AR5" s="76">
        <v>7218</v>
      </c>
      <c r="AS5" s="79"/>
    </row>
    <row r="6" spans="1:47" x14ac:dyDescent="0.25">
      <c r="A6" s="10">
        <v>3</v>
      </c>
      <c r="B6" s="46">
        <f t="shared" si="0"/>
        <v>7126</v>
      </c>
      <c r="C6"/>
      <c r="E6" s="12">
        <f t="shared" si="5"/>
        <v>-7126</v>
      </c>
      <c r="F6" s="4">
        <f t="shared" si="6"/>
        <v>-7126</v>
      </c>
      <c r="G6" s="9">
        <f t="shared" si="7"/>
        <v>0</v>
      </c>
      <c r="H6" s="46">
        <f t="shared" si="1"/>
        <v>7086</v>
      </c>
      <c r="I6" s="12"/>
      <c r="J6" s="4"/>
      <c r="K6" s="12">
        <f t="shared" si="8"/>
        <v>-7086</v>
      </c>
      <c r="L6" s="4">
        <f t="shared" si="9"/>
        <v>-7086</v>
      </c>
      <c r="M6" s="9">
        <f t="shared" si="10"/>
        <v>0</v>
      </c>
      <c r="N6" s="46">
        <f t="shared" si="2"/>
        <v>6992</v>
      </c>
      <c r="O6"/>
      <c r="Q6" s="12">
        <f t="shared" si="11"/>
        <v>-6992</v>
      </c>
      <c r="R6" s="4">
        <f t="shared" si="12"/>
        <v>-6992</v>
      </c>
      <c r="S6" s="9">
        <f t="shared" si="13"/>
        <v>0</v>
      </c>
      <c r="T6" s="46">
        <f t="shared" si="3"/>
        <v>7062.1</v>
      </c>
      <c r="U6" s="12"/>
      <c r="V6" s="4"/>
      <c r="W6" s="12">
        <f t="shared" si="14"/>
        <v>-7062.1</v>
      </c>
      <c r="X6" s="4">
        <f t="shared" si="15"/>
        <v>-7062.1</v>
      </c>
      <c r="Y6" s="9">
        <f t="shared" si="16"/>
        <v>0</v>
      </c>
      <c r="Z6" s="46">
        <f t="shared" si="4"/>
        <v>7167.9</v>
      </c>
      <c r="AA6" s="12"/>
      <c r="AB6" s="4"/>
      <c r="AC6" s="12">
        <f t="shared" si="17"/>
        <v>-7167.9</v>
      </c>
      <c r="AD6" s="4">
        <f t="shared" si="18"/>
        <v>-7167.9</v>
      </c>
      <c r="AE6" s="9">
        <f t="shared" si="19"/>
        <v>0</v>
      </c>
      <c r="AF6" s="51">
        <v>6927.1</v>
      </c>
      <c r="AI6" s="4">
        <f t="shared" si="20"/>
        <v>6927.1</v>
      </c>
      <c r="AJ6" s="4">
        <f t="shared" si="21"/>
        <v>6927.1</v>
      </c>
      <c r="AK6" s="47">
        <f t="shared" si="22"/>
        <v>0</v>
      </c>
      <c r="AM6" s="5"/>
      <c r="AN6" s="74">
        <v>7126</v>
      </c>
      <c r="AO6" s="78">
        <v>7086</v>
      </c>
      <c r="AP6" s="75">
        <v>6992</v>
      </c>
      <c r="AQ6" s="75">
        <v>7062.1</v>
      </c>
      <c r="AR6" s="76">
        <v>7167.9</v>
      </c>
      <c r="AS6" s="79"/>
    </row>
    <row r="7" spans="1:47" x14ac:dyDescent="0.25">
      <c r="A7" s="10">
        <v>4</v>
      </c>
      <c r="B7" s="46">
        <f t="shared" si="0"/>
        <v>7146</v>
      </c>
      <c r="C7"/>
      <c r="E7" s="12">
        <f t="shared" si="5"/>
        <v>-7146</v>
      </c>
      <c r="F7" s="4">
        <f t="shared" si="6"/>
        <v>-7146</v>
      </c>
      <c r="G7" s="9">
        <f t="shared" si="7"/>
        <v>0</v>
      </c>
      <c r="H7" s="46">
        <f t="shared" si="1"/>
        <v>7110</v>
      </c>
      <c r="I7" s="12"/>
      <c r="J7" s="4"/>
      <c r="K7" s="12">
        <f t="shared" si="8"/>
        <v>-7110</v>
      </c>
      <c r="L7" s="4">
        <f t="shared" si="9"/>
        <v>-7110</v>
      </c>
      <c r="M7" s="9">
        <f t="shared" si="10"/>
        <v>0</v>
      </c>
      <c r="N7" s="46">
        <f t="shared" si="2"/>
        <v>7012</v>
      </c>
      <c r="O7"/>
      <c r="Q7" s="12">
        <f t="shared" si="11"/>
        <v>-7012</v>
      </c>
      <c r="R7" s="4">
        <f t="shared" si="12"/>
        <v>-7012</v>
      </c>
      <c r="S7" s="9">
        <f t="shared" si="13"/>
        <v>0</v>
      </c>
      <c r="T7" s="46">
        <f t="shared" si="3"/>
        <v>7078.2</v>
      </c>
      <c r="U7" s="12"/>
      <c r="V7" s="4"/>
      <c r="W7" s="12">
        <f t="shared" si="14"/>
        <v>-7078.2</v>
      </c>
      <c r="X7" s="4">
        <f t="shared" si="15"/>
        <v>-7078.2</v>
      </c>
      <c r="Y7" s="9">
        <f t="shared" si="16"/>
        <v>0</v>
      </c>
      <c r="Z7" s="46">
        <f t="shared" si="4"/>
        <v>7176.7</v>
      </c>
      <c r="AA7" s="12"/>
      <c r="AB7" s="4"/>
      <c r="AC7" s="12">
        <f t="shared" si="17"/>
        <v>-7176.7</v>
      </c>
      <c r="AD7" s="4">
        <f t="shared" si="18"/>
        <v>-7176.7</v>
      </c>
      <c r="AE7" s="9">
        <f t="shared" si="19"/>
        <v>0</v>
      </c>
      <c r="AF7" s="51">
        <v>6974</v>
      </c>
      <c r="AI7" s="4">
        <f t="shared" si="20"/>
        <v>6974</v>
      </c>
      <c r="AJ7" s="4">
        <f t="shared" si="21"/>
        <v>6974</v>
      </c>
      <c r="AK7" s="47">
        <f t="shared" si="22"/>
        <v>0</v>
      </c>
      <c r="AM7" s="5"/>
      <c r="AN7" s="74">
        <v>7146</v>
      </c>
      <c r="AO7" s="78">
        <v>7110</v>
      </c>
      <c r="AP7" s="75">
        <v>7012</v>
      </c>
      <c r="AQ7" s="75">
        <v>7078.2</v>
      </c>
      <c r="AR7" s="76">
        <v>7176.7</v>
      </c>
      <c r="AS7" s="79"/>
      <c r="AT7" s="62"/>
    </row>
    <row r="8" spans="1:47" x14ac:dyDescent="0.25">
      <c r="A8" s="10">
        <v>5</v>
      </c>
      <c r="B8" s="46">
        <f t="shared" si="0"/>
        <v>7064</v>
      </c>
      <c r="C8"/>
      <c r="E8" s="12">
        <f t="shared" si="5"/>
        <v>-7064</v>
      </c>
      <c r="F8" s="4">
        <f t="shared" si="6"/>
        <v>-7064</v>
      </c>
      <c r="G8" s="9">
        <f t="shared" si="7"/>
        <v>0</v>
      </c>
      <c r="H8" s="46">
        <f t="shared" si="1"/>
        <v>7029</v>
      </c>
      <c r="I8" s="12"/>
      <c r="J8" s="4"/>
      <c r="K8" s="12">
        <f t="shared" si="8"/>
        <v>-7029</v>
      </c>
      <c r="L8" s="4">
        <f t="shared" si="9"/>
        <v>-7029</v>
      </c>
      <c r="M8" s="9">
        <f t="shared" si="10"/>
        <v>0</v>
      </c>
      <c r="N8" s="46">
        <f t="shared" si="2"/>
        <v>6937</v>
      </c>
      <c r="O8"/>
      <c r="Q8" s="12">
        <f t="shared" si="11"/>
        <v>-6937</v>
      </c>
      <c r="R8" s="4">
        <f t="shared" si="12"/>
        <v>-6937</v>
      </c>
      <c r="S8" s="9">
        <f t="shared" si="13"/>
        <v>0</v>
      </c>
      <c r="T8" s="46">
        <f t="shared" si="3"/>
        <v>7003.6</v>
      </c>
      <c r="U8" s="12"/>
      <c r="V8" s="4"/>
      <c r="W8" s="12">
        <f t="shared" si="14"/>
        <v>-7003.6</v>
      </c>
      <c r="X8" s="4">
        <f t="shared" si="15"/>
        <v>-7003.6</v>
      </c>
      <c r="Y8" s="9">
        <f t="shared" si="16"/>
        <v>0</v>
      </c>
      <c r="Z8" s="46">
        <f t="shared" si="4"/>
        <v>7101.7</v>
      </c>
      <c r="AA8" s="12"/>
      <c r="AB8" s="4"/>
      <c r="AC8" s="12">
        <f t="shared" si="17"/>
        <v>-7101.7</v>
      </c>
      <c r="AD8" s="4">
        <f t="shared" si="18"/>
        <v>-7101.7</v>
      </c>
      <c r="AE8" s="9">
        <f t="shared" si="19"/>
        <v>0</v>
      </c>
      <c r="AF8" s="51">
        <v>6734.4</v>
      </c>
      <c r="AI8" s="4">
        <f t="shared" si="20"/>
        <v>6734.4</v>
      </c>
      <c r="AJ8" s="4">
        <f t="shared" si="21"/>
        <v>6734.4</v>
      </c>
      <c r="AK8" s="47">
        <f t="shared" si="22"/>
        <v>0</v>
      </c>
      <c r="AM8" s="5"/>
      <c r="AN8" s="74">
        <v>7064</v>
      </c>
      <c r="AO8" s="78">
        <v>7029</v>
      </c>
      <c r="AP8" s="75">
        <v>6937</v>
      </c>
      <c r="AQ8" s="75">
        <v>7003.6</v>
      </c>
      <c r="AR8" s="76">
        <v>7101.7</v>
      </c>
      <c r="AS8" s="79"/>
    </row>
    <row r="9" spans="1:47" x14ac:dyDescent="0.25">
      <c r="A9" s="10">
        <v>6</v>
      </c>
      <c r="B9" s="46">
        <f t="shared" si="0"/>
        <v>7019</v>
      </c>
      <c r="C9"/>
      <c r="E9" s="12">
        <f t="shared" si="5"/>
        <v>-7019</v>
      </c>
      <c r="F9" s="4">
        <f t="shared" si="6"/>
        <v>-7019</v>
      </c>
      <c r="G9" s="9">
        <f t="shared" si="7"/>
        <v>0</v>
      </c>
      <c r="H9" s="46">
        <f t="shared" si="1"/>
        <v>6983</v>
      </c>
      <c r="I9" s="12"/>
      <c r="J9" s="4"/>
      <c r="K9" s="12">
        <f t="shared" si="8"/>
        <v>-6983</v>
      </c>
      <c r="L9" s="4">
        <f t="shared" si="9"/>
        <v>-6983</v>
      </c>
      <c r="M9" s="9">
        <f t="shared" si="10"/>
        <v>0</v>
      </c>
      <c r="N9" s="46">
        <f t="shared" si="2"/>
        <v>6889</v>
      </c>
      <c r="O9"/>
      <c r="Q9" s="12">
        <f t="shared" si="11"/>
        <v>-6889</v>
      </c>
      <c r="R9" s="4">
        <f t="shared" si="12"/>
        <v>-6889</v>
      </c>
      <c r="S9" s="9">
        <f t="shared" si="13"/>
        <v>0</v>
      </c>
      <c r="T9" s="46">
        <f t="shared" si="3"/>
        <v>6948.8</v>
      </c>
      <c r="U9" s="12"/>
      <c r="V9" s="4"/>
      <c r="W9" s="12">
        <f t="shared" si="14"/>
        <v>-6948.8</v>
      </c>
      <c r="X9" s="4">
        <f t="shared" si="15"/>
        <v>-6948.8</v>
      </c>
      <c r="Y9" s="9">
        <f t="shared" si="16"/>
        <v>0</v>
      </c>
      <c r="Z9" s="46">
        <f t="shared" si="4"/>
        <v>7046.6</v>
      </c>
      <c r="AA9" s="12"/>
      <c r="AB9" s="4"/>
      <c r="AC9" s="12">
        <f t="shared" si="17"/>
        <v>-7046.6</v>
      </c>
      <c r="AD9" s="4">
        <f t="shared" si="18"/>
        <v>-7046.6</v>
      </c>
      <c r="AE9" s="9">
        <f t="shared" si="19"/>
        <v>0</v>
      </c>
      <c r="AF9" s="51">
        <v>6621.4</v>
      </c>
      <c r="AI9" s="4">
        <f t="shared" si="20"/>
        <v>6621.4</v>
      </c>
      <c r="AJ9" s="4">
        <f t="shared" si="21"/>
        <v>6621.4</v>
      </c>
      <c r="AK9" s="47">
        <f t="shared" si="22"/>
        <v>0</v>
      </c>
      <c r="AM9" s="5"/>
      <c r="AN9" s="74">
        <v>7019</v>
      </c>
      <c r="AO9" s="78">
        <v>6983</v>
      </c>
      <c r="AP9" s="75">
        <v>6889</v>
      </c>
      <c r="AQ9" s="75">
        <v>6948.8</v>
      </c>
      <c r="AR9" s="76">
        <v>7046.6</v>
      </c>
      <c r="AS9" s="79"/>
    </row>
    <row r="10" spans="1:47" x14ac:dyDescent="0.25">
      <c r="A10" s="10">
        <v>7</v>
      </c>
      <c r="B10" s="46">
        <f t="shared" si="0"/>
        <v>6948</v>
      </c>
      <c r="C10"/>
      <c r="E10" s="12">
        <f t="shared" si="5"/>
        <v>-6948</v>
      </c>
      <c r="F10" s="4">
        <f t="shared" si="6"/>
        <v>-6948</v>
      </c>
      <c r="G10" s="9">
        <f t="shared" si="7"/>
        <v>0</v>
      </c>
      <c r="H10" s="46">
        <f t="shared" si="1"/>
        <v>6901</v>
      </c>
      <c r="I10" s="12"/>
      <c r="J10" s="4"/>
      <c r="K10" s="12">
        <f t="shared" si="8"/>
        <v>-6901</v>
      </c>
      <c r="L10" s="4">
        <f t="shared" si="9"/>
        <v>-6901</v>
      </c>
      <c r="M10" s="9">
        <f t="shared" si="10"/>
        <v>0</v>
      </c>
      <c r="N10" s="46">
        <f t="shared" si="2"/>
        <v>6828</v>
      </c>
      <c r="O10"/>
      <c r="Q10" s="12">
        <f t="shared" si="11"/>
        <v>-6828</v>
      </c>
      <c r="R10" s="4">
        <f t="shared" si="12"/>
        <v>-6828</v>
      </c>
      <c r="S10" s="9">
        <f t="shared" si="13"/>
        <v>0</v>
      </c>
      <c r="T10" s="46">
        <f t="shared" si="3"/>
        <v>6872.3</v>
      </c>
      <c r="U10" s="12"/>
      <c r="V10" s="4"/>
      <c r="W10" s="12">
        <f t="shared" si="14"/>
        <v>-6872.3</v>
      </c>
      <c r="X10" s="4">
        <f t="shared" si="15"/>
        <v>-6872.3</v>
      </c>
      <c r="Y10" s="9">
        <f t="shared" si="16"/>
        <v>0</v>
      </c>
      <c r="Z10" s="46">
        <f t="shared" si="4"/>
        <v>6960</v>
      </c>
      <c r="AA10" s="12"/>
      <c r="AB10" s="4"/>
      <c r="AC10" s="12">
        <f t="shared" si="17"/>
        <v>-6960</v>
      </c>
      <c r="AD10" s="4">
        <f t="shared" si="18"/>
        <v>-6960</v>
      </c>
      <c r="AE10" s="9">
        <f t="shared" si="19"/>
        <v>0</v>
      </c>
      <c r="AF10" s="51">
        <v>6539</v>
      </c>
      <c r="AI10" s="4">
        <f t="shared" si="20"/>
        <v>6539</v>
      </c>
      <c r="AJ10" s="4">
        <f t="shared" si="21"/>
        <v>6539</v>
      </c>
      <c r="AK10" s="47">
        <f t="shared" si="22"/>
        <v>0</v>
      </c>
      <c r="AM10" s="5"/>
      <c r="AN10" s="74">
        <v>6948</v>
      </c>
      <c r="AO10" s="78">
        <v>6901</v>
      </c>
      <c r="AP10" s="75">
        <v>6828</v>
      </c>
      <c r="AQ10" s="75">
        <v>6872.3</v>
      </c>
      <c r="AR10" s="76">
        <v>6960</v>
      </c>
      <c r="AS10" s="79"/>
    </row>
    <row r="11" spans="1:47" x14ac:dyDescent="0.25">
      <c r="A11" s="10">
        <v>8</v>
      </c>
      <c r="B11" s="46">
        <f t="shared" si="0"/>
        <v>6951</v>
      </c>
      <c r="C11"/>
      <c r="E11" s="12">
        <f t="shared" si="5"/>
        <v>-6951</v>
      </c>
      <c r="F11" s="4">
        <f t="shared" si="6"/>
        <v>-6951</v>
      </c>
      <c r="G11" s="9">
        <f t="shared" si="7"/>
        <v>0</v>
      </c>
      <c r="H11" s="46">
        <f t="shared" si="1"/>
        <v>6913</v>
      </c>
      <c r="I11" s="12"/>
      <c r="J11" s="4"/>
      <c r="K11" s="12">
        <f t="shared" si="8"/>
        <v>-6913</v>
      </c>
      <c r="L11" s="4">
        <f t="shared" si="9"/>
        <v>-6913</v>
      </c>
      <c r="M11" s="9">
        <f t="shared" si="10"/>
        <v>0</v>
      </c>
      <c r="N11" s="46">
        <f t="shared" si="2"/>
        <v>6837</v>
      </c>
      <c r="O11"/>
      <c r="Q11" s="12">
        <f t="shared" si="11"/>
        <v>-6837</v>
      </c>
      <c r="R11" s="4">
        <f t="shared" si="12"/>
        <v>-6837</v>
      </c>
      <c r="S11" s="9">
        <f t="shared" si="13"/>
        <v>0</v>
      </c>
      <c r="T11" s="46">
        <f t="shared" si="3"/>
        <v>6872.7</v>
      </c>
      <c r="U11" s="12"/>
      <c r="V11" s="4"/>
      <c r="W11" s="12">
        <f t="shared" si="14"/>
        <v>-6872.7</v>
      </c>
      <c r="X11" s="4">
        <f t="shared" si="15"/>
        <v>-6872.7</v>
      </c>
      <c r="Y11" s="9">
        <f t="shared" si="16"/>
        <v>0</v>
      </c>
      <c r="Z11" s="46">
        <f t="shared" si="4"/>
        <v>6939.8</v>
      </c>
      <c r="AA11" s="12"/>
      <c r="AB11" s="4"/>
      <c r="AC11" s="12">
        <f t="shared" si="17"/>
        <v>-6939.8</v>
      </c>
      <c r="AD11" s="4">
        <f t="shared" si="18"/>
        <v>-6939.8</v>
      </c>
      <c r="AE11" s="9">
        <f t="shared" si="19"/>
        <v>0</v>
      </c>
      <c r="AF11" s="51">
        <v>6587.6</v>
      </c>
      <c r="AI11" s="4">
        <f t="shared" si="20"/>
        <v>6587.6</v>
      </c>
      <c r="AJ11" s="4">
        <f t="shared" si="21"/>
        <v>6587.6</v>
      </c>
      <c r="AK11" s="47">
        <f t="shared" si="22"/>
        <v>0</v>
      </c>
      <c r="AM11" s="5"/>
      <c r="AN11" s="74">
        <v>6951</v>
      </c>
      <c r="AO11" s="78">
        <v>6913</v>
      </c>
      <c r="AP11" s="75">
        <v>6837</v>
      </c>
      <c r="AQ11" s="75">
        <v>6872.7</v>
      </c>
      <c r="AR11" s="76">
        <v>6939.8</v>
      </c>
      <c r="AS11" s="79"/>
    </row>
    <row r="12" spans="1:47" x14ac:dyDescent="0.25">
      <c r="A12" s="10">
        <v>9</v>
      </c>
      <c r="B12" s="46">
        <f t="shared" ref="B12:B16" si="23">AN12+$M$24</f>
        <v>6816</v>
      </c>
      <c r="C12"/>
      <c r="E12" s="12">
        <f t="shared" si="5"/>
        <v>-6816</v>
      </c>
      <c r="F12" s="4">
        <f t="shared" si="6"/>
        <v>-6816</v>
      </c>
      <c r="G12" s="9">
        <f t="shared" si="7"/>
        <v>0</v>
      </c>
      <c r="H12" s="46">
        <f t="shared" ref="H12:H14" si="24">AO12+$M$24</f>
        <v>6794</v>
      </c>
      <c r="I12" s="12"/>
      <c r="J12" s="4"/>
      <c r="K12" s="12">
        <f t="shared" si="8"/>
        <v>-6794</v>
      </c>
      <c r="L12" s="4">
        <f t="shared" si="9"/>
        <v>-6794</v>
      </c>
      <c r="M12" s="9">
        <f t="shared" si="10"/>
        <v>0</v>
      </c>
      <c r="N12" s="46">
        <f t="shared" ref="N12:N16" si="25">AP12+$M$24</f>
        <v>6736</v>
      </c>
      <c r="O12"/>
      <c r="Q12" s="12">
        <f t="shared" si="11"/>
        <v>-6736</v>
      </c>
      <c r="R12" s="4">
        <f t="shared" si="12"/>
        <v>-6736</v>
      </c>
      <c r="S12" s="9">
        <f t="shared" si="13"/>
        <v>0</v>
      </c>
      <c r="T12" s="46">
        <f t="shared" ref="T12:T13" si="26">AQ12+$M$24</f>
        <v>6829.8</v>
      </c>
      <c r="U12" s="12"/>
      <c r="V12" s="4"/>
      <c r="W12" s="12">
        <f t="shared" si="14"/>
        <v>-6829.8</v>
      </c>
      <c r="X12" s="4">
        <f t="shared" si="15"/>
        <v>-6829.8</v>
      </c>
      <c r="Y12" s="9">
        <f t="shared" si="16"/>
        <v>0</v>
      </c>
      <c r="Z12" s="46"/>
      <c r="AA12" s="12"/>
      <c r="AB12" s="4"/>
      <c r="AC12" s="12"/>
      <c r="AD12" s="4"/>
      <c r="AE12" s="65"/>
      <c r="AF12" s="51">
        <v>6469</v>
      </c>
      <c r="AI12" s="4">
        <f t="shared" si="20"/>
        <v>6469</v>
      </c>
      <c r="AJ12" s="4">
        <f t="shared" si="21"/>
        <v>6469</v>
      </c>
      <c r="AK12" s="47">
        <f t="shared" si="22"/>
        <v>0</v>
      </c>
      <c r="AM12" s="5"/>
      <c r="AN12" s="74">
        <v>6816</v>
      </c>
      <c r="AO12" s="78">
        <v>6794</v>
      </c>
      <c r="AP12" s="75">
        <v>6736</v>
      </c>
      <c r="AQ12" s="75">
        <v>6829.8</v>
      </c>
      <c r="AR12" s="76"/>
      <c r="AS12" s="79"/>
    </row>
    <row r="13" spans="1:47" x14ac:dyDescent="0.25">
      <c r="A13" s="10">
        <v>10</v>
      </c>
      <c r="B13" s="46">
        <f t="shared" si="23"/>
        <v>6652</v>
      </c>
      <c r="C13"/>
      <c r="E13" s="12">
        <f t="shared" si="5"/>
        <v>-6652</v>
      </c>
      <c r="F13" s="4">
        <f t="shared" si="6"/>
        <v>-6652</v>
      </c>
      <c r="G13" s="9">
        <f t="shared" si="7"/>
        <v>0</v>
      </c>
      <c r="H13" s="46">
        <f t="shared" si="24"/>
        <v>6631</v>
      </c>
      <c r="I13" s="12"/>
      <c r="J13" s="4"/>
      <c r="K13" s="12">
        <f t="shared" si="8"/>
        <v>-6631</v>
      </c>
      <c r="L13" s="4">
        <f t="shared" si="9"/>
        <v>-6631</v>
      </c>
      <c r="M13" s="9">
        <f t="shared" si="10"/>
        <v>0</v>
      </c>
      <c r="N13" s="46">
        <f t="shared" si="25"/>
        <v>6575</v>
      </c>
      <c r="O13"/>
      <c r="Q13" s="12">
        <f t="shared" si="11"/>
        <v>-6575</v>
      </c>
      <c r="R13" s="4">
        <f t="shared" si="12"/>
        <v>-6575</v>
      </c>
      <c r="S13" s="9">
        <f t="shared" si="13"/>
        <v>0</v>
      </c>
      <c r="T13" s="46">
        <f t="shared" si="26"/>
        <v>6678.2</v>
      </c>
      <c r="U13" s="12"/>
      <c r="V13" s="4"/>
      <c r="W13" s="12">
        <f t="shared" si="14"/>
        <v>-6678.2</v>
      </c>
      <c r="X13" s="4">
        <f t="shared" si="15"/>
        <v>-6678.2</v>
      </c>
      <c r="Y13" s="9">
        <f t="shared" si="16"/>
        <v>0</v>
      </c>
      <c r="Z13" s="46"/>
      <c r="AA13" s="12"/>
      <c r="AB13" s="4"/>
      <c r="AC13" s="12"/>
      <c r="AD13" s="4"/>
      <c r="AE13" s="65"/>
      <c r="AF13" s="51">
        <v>6426</v>
      </c>
      <c r="AI13" s="4">
        <f t="shared" si="20"/>
        <v>6426</v>
      </c>
      <c r="AJ13" s="4">
        <f t="shared" si="21"/>
        <v>6426</v>
      </c>
      <c r="AK13" s="47">
        <f t="shared" si="22"/>
        <v>0</v>
      </c>
      <c r="AM13" s="5"/>
      <c r="AN13" s="74">
        <v>6652</v>
      </c>
      <c r="AO13" s="74">
        <v>6631</v>
      </c>
      <c r="AP13" s="75">
        <v>6575</v>
      </c>
      <c r="AQ13" s="75">
        <v>6678.2</v>
      </c>
      <c r="AR13" s="76"/>
      <c r="AS13" s="79"/>
    </row>
    <row r="14" spans="1:47" x14ac:dyDescent="0.25">
      <c r="A14" s="10">
        <v>11</v>
      </c>
      <c r="B14" s="46">
        <f t="shared" si="23"/>
        <v>6554</v>
      </c>
      <c r="C14"/>
      <c r="E14" s="12">
        <f t="shared" si="5"/>
        <v>-6554</v>
      </c>
      <c r="F14" s="4">
        <f t="shared" si="6"/>
        <v>-6554</v>
      </c>
      <c r="G14" s="9">
        <f t="shared" si="7"/>
        <v>0</v>
      </c>
      <c r="H14" s="46">
        <f t="shared" si="24"/>
        <v>6540</v>
      </c>
      <c r="I14" s="12"/>
      <c r="J14" s="4"/>
      <c r="K14" s="12">
        <f t="shared" si="8"/>
        <v>-6540</v>
      </c>
      <c r="L14" s="4">
        <f t="shared" si="9"/>
        <v>-6540</v>
      </c>
      <c r="M14" s="9">
        <f t="shared" si="10"/>
        <v>0</v>
      </c>
      <c r="N14" s="46">
        <f t="shared" si="25"/>
        <v>6519</v>
      </c>
      <c r="O14"/>
      <c r="Q14" s="12">
        <f t="shared" si="11"/>
        <v>-6519</v>
      </c>
      <c r="R14" s="4">
        <f t="shared" si="12"/>
        <v>-6519</v>
      </c>
      <c r="S14" s="9">
        <f t="shared" si="13"/>
        <v>0</v>
      </c>
      <c r="T14" s="46">
        <f>AQ14+$M$24</f>
        <v>6592.4</v>
      </c>
      <c r="U14" s="12"/>
      <c r="V14" s="4"/>
      <c r="W14" s="12">
        <f t="shared" si="14"/>
        <v>-6592.4</v>
      </c>
      <c r="X14" s="4">
        <f t="shared" si="15"/>
        <v>-6592.4</v>
      </c>
      <c r="Y14" s="9">
        <f t="shared" si="16"/>
        <v>0</v>
      </c>
      <c r="Z14" s="46"/>
      <c r="AA14" s="12"/>
      <c r="AB14" s="4"/>
      <c r="AC14" s="12"/>
      <c r="AD14" s="4"/>
      <c r="AE14" s="65"/>
      <c r="AF14" s="51">
        <v>6409</v>
      </c>
      <c r="AI14" s="4">
        <f t="shared" si="20"/>
        <v>6409</v>
      </c>
      <c r="AJ14" s="4">
        <f t="shared" si="21"/>
        <v>6409</v>
      </c>
      <c r="AK14" s="47">
        <f t="shared" si="22"/>
        <v>0</v>
      </c>
      <c r="AM14" s="5"/>
      <c r="AN14" s="74">
        <v>6554</v>
      </c>
      <c r="AO14" s="74">
        <v>6540</v>
      </c>
      <c r="AP14" s="84">
        <v>6519</v>
      </c>
      <c r="AQ14" s="75">
        <v>6592.4</v>
      </c>
      <c r="AR14" s="76"/>
      <c r="AS14" s="79"/>
    </row>
    <row r="15" spans="1:47" x14ac:dyDescent="0.25">
      <c r="A15" s="10">
        <v>12</v>
      </c>
      <c r="B15" s="46">
        <f t="shared" si="23"/>
        <v>6342</v>
      </c>
      <c r="C15"/>
      <c r="E15" s="12">
        <f t="shared" si="5"/>
        <v>-6342</v>
      </c>
      <c r="F15" s="4">
        <f t="shared" si="6"/>
        <v>-6342</v>
      </c>
      <c r="G15" s="9">
        <f t="shared" si="7"/>
        <v>0</v>
      </c>
      <c r="H15" s="32"/>
      <c r="I15" s="12"/>
      <c r="J15" s="4"/>
      <c r="K15" s="12"/>
      <c r="L15" s="4"/>
      <c r="M15" s="21"/>
      <c r="N15" s="46">
        <f t="shared" si="25"/>
        <v>6386</v>
      </c>
      <c r="O15"/>
      <c r="Q15" s="12">
        <f t="shared" si="11"/>
        <v>-6386</v>
      </c>
      <c r="R15" s="4">
        <f t="shared" si="12"/>
        <v>-6386</v>
      </c>
      <c r="S15" s="9">
        <f t="shared" si="13"/>
        <v>0</v>
      </c>
      <c r="T15" s="46">
        <f>AQ15+$M$24</f>
        <v>6508.3</v>
      </c>
      <c r="U15" s="12"/>
      <c r="V15" s="4"/>
      <c r="W15" s="12">
        <f t="shared" si="14"/>
        <v>-6508.3</v>
      </c>
      <c r="X15" s="4">
        <f t="shared" si="15"/>
        <v>-6508.3</v>
      </c>
      <c r="Y15" s="9">
        <f t="shared" si="16"/>
        <v>0</v>
      </c>
      <c r="Z15" s="46"/>
      <c r="AA15" s="12"/>
      <c r="AB15" s="4"/>
      <c r="AC15" s="12"/>
      <c r="AD15" s="4"/>
      <c r="AE15" s="65"/>
      <c r="AF15" s="51">
        <v>6501</v>
      </c>
      <c r="AI15" s="4">
        <f>AG15-AF15</f>
        <v>-6501</v>
      </c>
      <c r="AJ15" s="4">
        <f t="shared" si="21"/>
        <v>6501</v>
      </c>
      <c r="AK15" s="47">
        <f t="shared" si="22"/>
        <v>0</v>
      </c>
      <c r="AM15" s="5"/>
      <c r="AN15" s="74">
        <v>6342</v>
      </c>
      <c r="AO15" s="76"/>
      <c r="AP15" s="75">
        <v>6386</v>
      </c>
      <c r="AQ15" s="75">
        <v>6508.3</v>
      </c>
      <c r="AR15" s="76"/>
      <c r="AS15" s="79"/>
      <c r="AT15" s="57"/>
    </row>
    <row r="16" spans="1:47" x14ac:dyDescent="0.25">
      <c r="A16" s="10">
        <v>13</v>
      </c>
      <c r="B16" s="46">
        <f t="shared" si="23"/>
        <v>6312</v>
      </c>
      <c r="C16"/>
      <c r="E16" s="12">
        <f t="shared" si="5"/>
        <v>-6312</v>
      </c>
      <c r="F16" s="4">
        <f t="shared" si="6"/>
        <v>-6312</v>
      </c>
      <c r="G16" s="9">
        <f t="shared" si="7"/>
        <v>0</v>
      </c>
      <c r="H16" s="32"/>
      <c r="I16" s="12"/>
      <c r="J16" s="4"/>
      <c r="K16" s="12"/>
      <c r="L16" s="4"/>
      <c r="M16" s="21"/>
      <c r="N16" s="46">
        <f t="shared" si="25"/>
        <v>6395</v>
      </c>
      <c r="O16"/>
      <c r="Q16" s="12">
        <f t="shared" si="11"/>
        <v>-6395</v>
      </c>
      <c r="R16" s="4">
        <f t="shared" si="12"/>
        <v>-6395</v>
      </c>
      <c r="S16" s="9">
        <f t="shared" si="13"/>
        <v>0</v>
      </c>
      <c r="T16" s="46">
        <f>AQ16+$M$24</f>
        <v>6495.2</v>
      </c>
      <c r="U16" s="12"/>
      <c r="V16" s="4"/>
      <c r="W16" s="12">
        <f t="shared" si="14"/>
        <v>-6495.2</v>
      </c>
      <c r="X16" s="4">
        <f t="shared" si="15"/>
        <v>-6495.2</v>
      </c>
      <c r="Y16" s="9">
        <f t="shared" si="16"/>
        <v>0</v>
      </c>
      <c r="Z16" s="46"/>
      <c r="AA16" s="12"/>
      <c r="AB16" s="4"/>
      <c r="AC16" s="12"/>
      <c r="AD16" s="4"/>
      <c r="AE16" s="65"/>
      <c r="AF16" s="68"/>
      <c r="AK16" s="65"/>
      <c r="AM16" s="5"/>
      <c r="AN16" s="74">
        <v>6312</v>
      </c>
      <c r="AO16" s="76"/>
      <c r="AP16" s="75">
        <v>6395</v>
      </c>
      <c r="AQ16" s="75">
        <v>6495.2</v>
      </c>
      <c r="AR16" s="76"/>
      <c r="AS16" s="79"/>
      <c r="AT16" s="57"/>
    </row>
    <row r="17" spans="1:45" x14ac:dyDescent="0.25">
      <c r="A17" s="10"/>
      <c r="B17" s="46"/>
      <c r="C17"/>
      <c r="E17" s="12"/>
      <c r="F17" s="4"/>
      <c r="G17" s="21"/>
      <c r="H17" s="32"/>
      <c r="I17" s="12"/>
      <c r="J17" s="4"/>
      <c r="K17" s="12"/>
      <c r="L17" s="4"/>
      <c r="M17" s="21"/>
      <c r="N17" s="46"/>
      <c r="O17"/>
      <c r="Q17" s="12"/>
      <c r="R17" s="4"/>
      <c r="S17" s="21"/>
      <c r="T17" s="44"/>
      <c r="U17" s="63"/>
      <c r="V17" s="64"/>
      <c r="W17" s="63"/>
      <c r="X17" s="64"/>
      <c r="Y17" s="65"/>
      <c r="Z17" s="44"/>
      <c r="AA17" s="63"/>
      <c r="AB17" s="64"/>
      <c r="AC17" s="63"/>
      <c r="AD17" s="64"/>
      <c r="AE17" s="65"/>
      <c r="AF17" s="68"/>
      <c r="AK17" s="65"/>
      <c r="AM17" s="5"/>
      <c r="AN17" s="74"/>
      <c r="AO17" s="76"/>
      <c r="AP17" s="75"/>
      <c r="AQ17" s="80"/>
      <c r="AR17" s="76"/>
      <c r="AS17" s="79"/>
    </row>
    <row r="18" spans="1:45" x14ac:dyDescent="0.25">
      <c r="A18" s="10"/>
      <c r="B18" s="46"/>
      <c r="C18"/>
      <c r="D18" s="4"/>
      <c r="E18" s="12"/>
      <c r="F18" s="4"/>
      <c r="G18" s="21"/>
      <c r="H18" s="32"/>
      <c r="I18" s="12"/>
      <c r="J18" s="4"/>
      <c r="K18" s="12"/>
      <c r="L18" s="4"/>
      <c r="M18" s="21"/>
      <c r="N18" s="46"/>
      <c r="O18" s="12"/>
      <c r="P18" s="4"/>
      <c r="Q18" s="12"/>
      <c r="R18" s="4"/>
      <c r="S18" s="21"/>
      <c r="T18" s="44"/>
      <c r="U18" s="63"/>
      <c r="V18" s="64"/>
      <c r="W18" s="63"/>
      <c r="X18" s="64"/>
      <c r="Y18" s="65"/>
      <c r="Z18" s="44"/>
      <c r="AA18" s="63"/>
      <c r="AB18" s="64"/>
      <c r="AC18" s="63"/>
      <c r="AD18" s="64"/>
      <c r="AE18" s="65"/>
      <c r="AF18" s="68"/>
      <c r="AK18" s="65"/>
      <c r="AN18" s="79"/>
      <c r="AO18" s="79"/>
      <c r="AP18" s="81"/>
      <c r="AQ18" s="79"/>
      <c r="AR18" s="79"/>
      <c r="AS18" s="79"/>
    </row>
    <row r="19" spans="1:45" x14ac:dyDescent="0.25">
      <c r="A19" s="10"/>
      <c r="B19" s="46"/>
      <c r="C19" s="12"/>
      <c r="D19" s="6"/>
      <c r="E19" s="12"/>
      <c r="F19" s="6"/>
      <c r="G19" s="21"/>
      <c r="H19" s="33"/>
      <c r="I19" s="12"/>
      <c r="J19" s="6"/>
      <c r="K19" s="12"/>
      <c r="L19" s="6"/>
      <c r="M19" s="21"/>
      <c r="N19" s="46"/>
      <c r="O19" s="12"/>
      <c r="P19" s="6"/>
      <c r="Q19" s="12"/>
      <c r="R19" s="4"/>
      <c r="S19" s="21"/>
      <c r="T19" s="33"/>
      <c r="U19" s="12"/>
      <c r="V19" s="6"/>
      <c r="W19" s="12"/>
      <c r="X19" s="6"/>
      <c r="Y19" s="65"/>
      <c r="Z19" s="33"/>
      <c r="AA19" s="12"/>
      <c r="AB19" s="6"/>
      <c r="AC19" s="12"/>
      <c r="AD19" s="6"/>
      <c r="AE19" s="65"/>
      <c r="AF19" s="68"/>
      <c r="AK19" s="65"/>
      <c r="AN19" s="79"/>
      <c r="AO19" s="82"/>
      <c r="AP19" s="83"/>
      <c r="AQ19" s="79"/>
      <c r="AR19" s="79"/>
      <c r="AS19" s="79"/>
    </row>
    <row r="20" spans="1:45" x14ac:dyDescent="0.25">
      <c r="A20" s="10"/>
      <c r="B20" s="33"/>
      <c r="C20" s="12"/>
      <c r="D20" s="6"/>
      <c r="E20" s="12"/>
      <c r="F20" s="6"/>
      <c r="G20" s="21"/>
      <c r="H20" s="33"/>
      <c r="I20" s="12"/>
      <c r="J20" s="6"/>
      <c r="K20" s="12"/>
      <c r="L20" s="6"/>
      <c r="M20" s="21"/>
      <c r="N20" s="33"/>
      <c r="O20" s="12"/>
      <c r="P20" s="6"/>
      <c r="Q20" s="12"/>
      <c r="R20" s="6"/>
      <c r="S20" s="21"/>
      <c r="T20" s="33"/>
      <c r="U20" s="12"/>
      <c r="V20" s="4"/>
      <c r="W20" s="12"/>
      <c r="X20" s="6"/>
      <c r="Y20" s="65"/>
      <c r="Z20" s="33"/>
      <c r="AA20" s="12"/>
      <c r="AB20" s="6"/>
      <c r="AC20" s="12"/>
      <c r="AD20" s="6"/>
      <c r="AE20" s="65"/>
      <c r="AF20" s="68"/>
      <c r="AK20" s="65"/>
      <c r="AN20" s="79"/>
      <c r="AO20" s="79"/>
      <c r="AP20" s="79"/>
      <c r="AQ20" s="79"/>
      <c r="AR20" s="79"/>
      <c r="AS20" s="79"/>
    </row>
    <row r="21" spans="1:45" ht="15.75" thickBot="1" x14ac:dyDescent="0.3">
      <c r="A21" s="11"/>
      <c r="B21" s="34"/>
      <c r="C21" s="14"/>
      <c r="D21" s="23"/>
      <c r="E21" s="14"/>
      <c r="F21" s="23"/>
      <c r="G21" s="26"/>
      <c r="H21" s="34"/>
      <c r="I21" s="14"/>
      <c r="J21" s="23"/>
      <c r="K21" s="14"/>
      <c r="L21" s="23"/>
      <c r="M21" s="26"/>
      <c r="N21" s="34"/>
      <c r="O21" s="23"/>
      <c r="P21" s="23"/>
      <c r="Q21" s="23"/>
      <c r="R21" s="23"/>
      <c r="S21" s="26"/>
      <c r="T21" s="34"/>
      <c r="U21" s="14"/>
      <c r="V21" s="66"/>
      <c r="W21" s="14"/>
      <c r="X21" s="23"/>
      <c r="Y21" s="67"/>
      <c r="Z21" s="34"/>
      <c r="AA21" s="14"/>
      <c r="AB21" s="23"/>
      <c r="AC21" s="14"/>
      <c r="AD21" s="23"/>
      <c r="AE21" s="67"/>
      <c r="AF21" s="69"/>
      <c r="AG21" s="70"/>
      <c r="AH21" s="70"/>
      <c r="AI21" s="70"/>
      <c r="AJ21" s="70"/>
      <c r="AK21" s="67"/>
    </row>
    <row r="22" spans="1:45" ht="7.5" customHeight="1" x14ac:dyDescent="0.25">
      <c r="A22" s="37"/>
      <c r="B22" s="2"/>
      <c r="C22" s="12"/>
      <c r="D22" s="6"/>
      <c r="E22" s="12"/>
      <c r="F22" s="6"/>
      <c r="G22" s="2"/>
      <c r="H22" s="2"/>
      <c r="I22" s="12"/>
      <c r="J22" s="6"/>
      <c r="K22" s="12"/>
      <c r="L22" s="6"/>
      <c r="M22" s="2"/>
      <c r="N22" s="2"/>
      <c r="O22" s="6"/>
      <c r="P22" s="6"/>
      <c r="Q22" s="6"/>
      <c r="R22" s="6"/>
      <c r="S22" s="2"/>
      <c r="T22" s="2"/>
      <c r="U22" s="12"/>
      <c r="V22" s="4"/>
      <c r="W22" s="12"/>
      <c r="X22" s="6"/>
      <c r="Z22" s="2"/>
      <c r="AA22" s="42"/>
      <c r="AB22" s="2"/>
      <c r="AC22" s="2"/>
      <c r="AD22" s="2"/>
    </row>
    <row r="23" spans="1:45" ht="15.75" thickBot="1" x14ac:dyDescent="0.3">
      <c r="A23" s="1"/>
      <c r="B23" s="2"/>
      <c r="C23" s="2"/>
      <c r="D23" s="35" t="s">
        <v>10</v>
      </c>
      <c r="E23" s="6"/>
      <c r="F23" s="12"/>
      <c r="G23" s="6"/>
      <c r="H23" s="36" t="s">
        <v>9</v>
      </c>
      <c r="I23" s="2"/>
      <c r="J23" s="4"/>
      <c r="K23" s="12"/>
      <c r="L23" s="4"/>
      <c r="M23" s="71" t="s">
        <v>19</v>
      </c>
      <c r="N23" s="71"/>
      <c r="O23" s="12"/>
      <c r="P23" s="3"/>
      <c r="Q23" s="3"/>
      <c r="R23" s="3"/>
      <c r="S23" s="2"/>
      <c r="T23" s="39"/>
      <c r="U23" s="2"/>
      <c r="V23" s="4"/>
      <c r="W23" s="2"/>
      <c r="X23" s="2"/>
    </row>
    <row r="24" spans="1:45" ht="15.75" thickBot="1" x14ac:dyDescent="0.3">
      <c r="A24" s="1"/>
      <c r="B24" s="2"/>
      <c r="C24" s="2" t="s">
        <v>0</v>
      </c>
      <c r="D24" s="16" t="s">
        <v>6</v>
      </c>
      <c r="E24" s="15" t="s">
        <v>6</v>
      </c>
      <c r="F24" s="18" t="s">
        <v>6</v>
      </c>
      <c r="G24" s="16" t="s">
        <v>6</v>
      </c>
      <c r="H24" s="17" t="s">
        <v>6</v>
      </c>
      <c r="I24" s="17" t="s">
        <v>6</v>
      </c>
      <c r="J24" s="38" t="s">
        <v>7</v>
      </c>
      <c r="K24" s="38">
        <v>30</v>
      </c>
      <c r="L24" s="4"/>
      <c r="M24" s="72"/>
      <c r="N24" s="73"/>
      <c r="O24" s="12"/>
      <c r="P24" s="3"/>
      <c r="Q24" s="3"/>
      <c r="R24" s="3"/>
      <c r="S24" s="2"/>
      <c r="T24" s="42"/>
      <c r="U24" s="4"/>
      <c r="V24" s="4"/>
      <c r="W24" s="2"/>
      <c r="X24" s="2"/>
    </row>
    <row r="25" spans="1:45" x14ac:dyDescent="0.25">
      <c r="A25" s="1"/>
      <c r="B25" s="2"/>
      <c r="C25" s="2" t="s">
        <v>1</v>
      </c>
      <c r="D25" s="19" t="s">
        <v>6</v>
      </c>
      <c r="E25" s="6" t="s">
        <v>6</v>
      </c>
      <c r="F25" s="20" t="s">
        <v>6</v>
      </c>
      <c r="G25" s="19" t="s">
        <v>6</v>
      </c>
      <c r="H25" s="2" t="s">
        <v>6</v>
      </c>
      <c r="I25" s="2" t="s">
        <v>6</v>
      </c>
      <c r="J25" s="38" t="s">
        <v>4</v>
      </c>
      <c r="K25" s="38">
        <v>22</v>
      </c>
      <c r="L25" s="4"/>
      <c r="M25" s="3"/>
      <c r="N25" s="2"/>
      <c r="O25" s="12"/>
      <c r="P25" s="3"/>
      <c r="Q25" s="3"/>
      <c r="R25" s="3"/>
      <c r="S25" s="2"/>
      <c r="T25" s="39"/>
      <c r="U25" s="2"/>
      <c r="V25" s="4"/>
      <c r="W25" s="2"/>
      <c r="X25" s="2"/>
    </row>
    <row r="26" spans="1:45" ht="15.75" thickBot="1" x14ac:dyDescent="0.3">
      <c r="A26" s="1"/>
      <c r="B26" s="2"/>
      <c r="C26" s="2" t="s">
        <v>2</v>
      </c>
      <c r="D26" s="22" t="s">
        <v>6</v>
      </c>
      <c r="E26" s="23" t="s">
        <v>6</v>
      </c>
      <c r="F26" s="24" t="s">
        <v>6</v>
      </c>
      <c r="G26" s="22" t="s">
        <v>6</v>
      </c>
      <c r="H26" s="25" t="s">
        <v>6</v>
      </c>
      <c r="I26" s="25" t="s">
        <v>6</v>
      </c>
      <c r="J26" s="38" t="s">
        <v>5</v>
      </c>
      <c r="K26" s="38">
        <v>15</v>
      </c>
      <c r="L26" s="4"/>
      <c r="M26" s="3"/>
      <c r="N26" s="2"/>
      <c r="O26" s="12"/>
      <c r="P26" s="3"/>
      <c r="Q26" s="3"/>
      <c r="R26" s="3"/>
      <c r="S26" s="2"/>
      <c r="T26" s="42"/>
      <c r="U26" s="2"/>
      <c r="V26" s="4"/>
      <c r="W26" s="2"/>
      <c r="X26" s="2"/>
    </row>
    <row r="27" spans="1:45" ht="20.25" customHeight="1" x14ac:dyDescent="0.25">
      <c r="C27"/>
      <c r="E27"/>
      <c r="H27" s="2"/>
      <c r="I27" s="12"/>
      <c r="J27" s="4"/>
      <c r="K27" s="12"/>
      <c r="L27" s="4"/>
      <c r="M27" s="3"/>
      <c r="N27" s="2"/>
      <c r="O27" s="12"/>
      <c r="P27" s="3"/>
      <c r="Q27" s="3"/>
      <c r="R27" s="3"/>
      <c r="S27" s="2"/>
      <c r="T27" s="39"/>
      <c r="U27" s="2"/>
      <c r="V27" s="4"/>
      <c r="W27" s="2"/>
      <c r="X27" s="2"/>
    </row>
    <row r="28" spans="1:45" x14ac:dyDescent="0.25">
      <c r="C28"/>
      <c r="E28"/>
      <c r="H28" s="2"/>
      <c r="I28" s="12"/>
      <c r="J28" s="4"/>
      <c r="K28" s="12"/>
      <c r="L28" s="4"/>
      <c r="M28" s="3"/>
      <c r="N28" s="2"/>
      <c r="O28" s="12"/>
      <c r="P28" s="3"/>
      <c r="Q28" s="3"/>
      <c r="R28" s="3"/>
      <c r="S28" s="2"/>
      <c r="T28" s="42"/>
      <c r="U28" s="2"/>
      <c r="V28" s="4"/>
      <c r="W28" s="2"/>
      <c r="X28" s="2"/>
    </row>
    <row r="29" spans="1:45" x14ac:dyDescent="0.25">
      <c r="C29"/>
      <c r="E29"/>
      <c r="H29" s="2"/>
      <c r="I29" s="12"/>
      <c r="J29" s="4"/>
      <c r="K29" s="12"/>
      <c r="L29" s="4"/>
      <c r="M29" s="3"/>
      <c r="N29" s="2"/>
      <c r="O29" s="12"/>
      <c r="P29" s="4"/>
      <c r="Q29" s="12"/>
      <c r="R29" s="4"/>
      <c r="S29" s="3"/>
      <c r="T29" s="2"/>
      <c r="U29" s="12"/>
      <c r="V29" s="4"/>
      <c r="W29" s="12"/>
      <c r="X29" s="4"/>
      <c r="Y29" s="3"/>
      <c r="Z29" s="3"/>
      <c r="AA29" s="3"/>
      <c r="AB29" s="3"/>
      <c r="AC29" s="2"/>
      <c r="AH29" s="2"/>
    </row>
    <row r="30" spans="1:45" x14ac:dyDescent="0.25">
      <c r="C30"/>
      <c r="E30"/>
      <c r="H30" s="2"/>
      <c r="I30" s="12"/>
      <c r="J30" s="4"/>
      <c r="K30" s="12"/>
      <c r="L30" s="4"/>
      <c r="M30" s="3"/>
      <c r="N30" s="2"/>
      <c r="O30" s="12"/>
      <c r="P30" s="4"/>
      <c r="Q30" s="12"/>
      <c r="R30" s="4"/>
      <c r="S30" s="3"/>
      <c r="T30" s="2"/>
      <c r="U30" s="12"/>
      <c r="V30" s="4"/>
      <c r="W30" s="12"/>
      <c r="X30" s="4"/>
      <c r="Y30" s="3"/>
      <c r="Z30" s="3"/>
      <c r="AA30" s="3"/>
      <c r="AB30" s="3"/>
      <c r="AC30" s="2"/>
      <c r="AH30" s="2"/>
    </row>
    <row r="31" spans="1:45" x14ac:dyDescent="0.25">
      <c r="C31"/>
      <c r="E31"/>
      <c r="H31" s="2"/>
      <c r="I31" s="12"/>
      <c r="J31" s="4"/>
      <c r="K31" s="12"/>
      <c r="L31" s="4"/>
      <c r="M31" s="3"/>
      <c r="N31" s="2"/>
      <c r="O31" s="12"/>
      <c r="P31" s="4"/>
      <c r="Q31" s="12"/>
      <c r="R31" s="4"/>
      <c r="S31" s="3"/>
      <c r="T31" s="2"/>
      <c r="U31" s="12"/>
      <c r="V31" s="4"/>
      <c r="W31" s="12"/>
      <c r="X31" s="4"/>
      <c r="Y31" s="3"/>
      <c r="Z31" s="3"/>
      <c r="AA31" s="3"/>
      <c r="AB31" s="3"/>
      <c r="AC31" s="2"/>
      <c r="AH31" s="2"/>
    </row>
    <row r="32" spans="1:45" x14ac:dyDescent="0.25">
      <c r="C32"/>
      <c r="E32"/>
      <c r="H32" s="2"/>
      <c r="I32" s="12"/>
      <c r="J32" s="4"/>
      <c r="K32" s="12"/>
      <c r="L32" s="4"/>
      <c r="M32" s="3"/>
      <c r="N32" s="2"/>
      <c r="O32" s="12"/>
      <c r="P32" s="4"/>
      <c r="Q32" s="12"/>
      <c r="R32" s="4"/>
      <c r="S32" s="3"/>
      <c r="T32" s="2"/>
      <c r="U32" s="12"/>
      <c r="V32" s="4"/>
      <c r="W32" s="12"/>
      <c r="X32" s="4"/>
      <c r="Y32" s="3"/>
      <c r="Z32" s="3"/>
      <c r="AA32" s="3"/>
      <c r="AB32" s="3"/>
      <c r="AC32" s="2"/>
      <c r="AH32" s="2"/>
    </row>
    <row r="33" spans="3:34" x14ac:dyDescent="0.25">
      <c r="C33"/>
      <c r="E33"/>
      <c r="H33" s="2"/>
      <c r="I33" s="12"/>
      <c r="J33" s="4"/>
      <c r="K33" s="12"/>
      <c r="L33" s="4"/>
      <c r="M33" s="3"/>
      <c r="N33" s="2"/>
      <c r="O33" s="12"/>
      <c r="P33" s="4"/>
      <c r="Q33" s="12"/>
      <c r="R33" s="4"/>
      <c r="S33" s="3"/>
      <c r="T33" s="2"/>
      <c r="U33" s="12"/>
      <c r="V33" s="4"/>
      <c r="W33" s="12"/>
      <c r="X33" s="4"/>
      <c r="Y33" s="3"/>
      <c r="Z33" s="3"/>
      <c r="AA33" s="3"/>
      <c r="AB33" s="3"/>
      <c r="AC33" s="2"/>
      <c r="AD33" s="39"/>
      <c r="AE33" s="2"/>
      <c r="AF33" s="2"/>
      <c r="AG33" s="2"/>
      <c r="AH33" s="2"/>
    </row>
    <row r="34" spans="3:34" x14ac:dyDescent="0.25">
      <c r="C34"/>
      <c r="E34"/>
      <c r="H34" s="2"/>
      <c r="I34" s="12"/>
      <c r="J34" s="4"/>
      <c r="K34" s="12"/>
      <c r="L34" s="4"/>
      <c r="M34" s="3"/>
      <c r="N34" s="2"/>
      <c r="O34" s="12"/>
      <c r="P34" s="4"/>
      <c r="Q34" s="12"/>
      <c r="R34" s="4"/>
      <c r="S34" s="3"/>
      <c r="T34" s="2"/>
      <c r="U34" s="12"/>
      <c r="V34" s="4"/>
      <c r="W34" s="12"/>
      <c r="X34" s="4"/>
      <c r="Y34" s="3"/>
      <c r="Z34" s="3"/>
      <c r="AA34" s="3"/>
      <c r="AB34" s="3"/>
      <c r="AC34" s="2"/>
      <c r="AD34" s="42"/>
      <c r="AE34" s="2"/>
      <c r="AF34" s="2"/>
      <c r="AG34" s="2"/>
      <c r="AH34" s="2"/>
    </row>
    <row r="35" spans="3:34" x14ac:dyDescent="0.25">
      <c r="C35"/>
      <c r="E35"/>
      <c r="H35" s="2"/>
      <c r="I35" s="12"/>
      <c r="J35" s="4"/>
      <c r="K35" s="12"/>
      <c r="L35" s="4"/>
      <c r="M35" s="3"/>
      <c r="N35" s="2"/>
      <c r="O35" s="12"/>
      <c r="P35" s="4"/>
      <c r="Q35" s="12"/>
      <c r="R35" s="4"/>
      <c r="S35" s="3"/>
      <c r="T35" s="2"/>
      <c r="U35" s="12"/>
      <c r="V35" s="4"/>
      <c r="W35" s="12"/>
      <c r="X35" s="4"/>
      <c r="Y35" s="3"/>
      <c r="Z35" s="3"/>
      <c r="AA35" s="3"/>
      <c r="AB35" s="3"/>
      <c r="AC35" s="2"/>
      <c r="AD35" s="39"/>
      <c r="AE35" s="2"/>
      <c r="AF35" s="2"/>
      <c r="AG35" s="2"/>
      <c r="AH35" s="2"/>
    </row>
    <row r="36" spans="3:34" x14ac:dyDescent="0.25">
      <c r="C36"/>
      <c r="E36"/>
      <c r="H36" s="2"/>
      <c r="I36" s="12"/>
      <c r="J36" s="4"/>
      <c r="K36" s="12"/>
      <c r="L36" s="4"/>
      <c r="M36" s="3"/>
      <c r="N36" s="2"/>
      <c r="O36" s="12"/>
      <c r="P36" s="4"/>
      <c r="Q36" s="12"/>
      <c r="R36" s="4"/>
      <c r="S36" s="3"/>
      <c r="T36" s="2"/>
      <c r="U36" s="12"/>
      <c r="V36" s="4"/>
      <c r="W36" s="12"/>
      <c r="X36" s="4"/>
      <c r="Y36" s="3"/>
      <c r="Z36" s="3"/>
      <c r="AA36" s="3"/>
      <c r="AB36" s="3"/>
      <c r="AC36" s="2"/>
      <c r="AD36" s="42"/>
      <c r="AE36" s="2"/>
      <c r="AF36" s="2"/>
      <c r="AG36" s="2"/>
      <c r="AH36" s="2"/>
    </row>
    <row r="37" spans="3:34" x14ac:dyDescent="0.25">
      <c r="C37"/>
      <c r="E37"/>
      <c r="H37" s="2"/>
      <c r="I37" s="12"/>
      <c r="J37" s="4"/>
      <c r="K37" s="12"/>
      <c r="L37" s="4"/>
      <c r="M37" s="3"/>
      <c r="N37" s="2"/>
      <c r="O37" s="12"/>
      <c r="P37" s="4"/>
      <c r="Q37" s="12"/>
      <c r="R37" s="4"/>
      <c r="S37" s="3"/>
      <c r="T37" s="2"/>
      <c r="U37" s="12"/>
      <c r="V37" s="4"/>
      <c r="W37" s="12"/>
      <c r="X37" s="4"/>
      <c r="Y37" s="3"/>
      <c r="Z37" s="3"/>
      <c r="AA37" s="3"/>
      <c r="AB37" s="3"/>
      <c r="AC37" s="2"/>
      <c r="AD37" s="39"/>
      <c r="AE37" s="2"/>
      <c r="AF37" s="2"/>
      <c r="AG37" s="2"/>
      <c r="AH37" s="2"/>
    </row>
    <row r="38" spans="3:34" x14ac:dyDescent="0.25">
      <c r="C38"/>
      <c r="E38"/>
      <c r="H38" s="2"/>
      <c r="I38" s="12"/>
      <c r="J38" s="4"/>
      <c r="K38" s="12"/>
      <c r="L38" s="4"/>
      <c r="M38" s="3"/>
      <c r="N38" s="2"/>
      <c r="O38" s="12"/>
      <c r="P38" s="4"/>
      <c r="Q38" s="12"/>
      <c r="R38" s="4"/>
      <c r="S38" s="3"/>
      <c r="T38" s="2"/>
      <c r="U38" s="12"/>
      <c r="V38" s="4"/>
      <c r="W38" s="12"/>
      <c r="X38" s="4"/>
      <c r="Y38" s="3"/>
      <c r="Z38" s="3"/>
      <c r="AA38" s="3"/>
      <c r="AB38" s="3"/>
      <c r="AC38" s="2"/>
      <c r="AD38" s="42"/>
      <c r="AE38" s="2"/>
      <c r="AF38" s="2"/>
      <c r="AG38" s="2"/>
      <c r="AH38" s="2"/>
    </row>
    <row r="39" spans="3:34" x14ac:dyDescent="0.25">
      <c r="C39"/>
      <c r="E39"/>
      <c r="H39" s="2"/>
      <c r="I39" s="12"/>
      <c r="J39" s="4"/>
      <c r="K39" s="12"/>
      <c r="L39" s="4"/>
      <c r="M39" s="3"/>
      <c r="N39" s="2"/>
      <c r="O39" s="12"/>
      <c r="P39" s="4"/>
      <c r="Q39" s="12"/>
      <c r="R39" s="4"/>
      <c r="S39" s="3"/>
      <c r="T39" s="2"/>
      <c r="U39" s="12"/>
      <c r="V39" s="4"/>
      <c r="W39" s="12"/>
      <c r="X39" s="4"/>
      <c r="Y39" s="3"/>
      <c r="Z39" s="3"/>
      <c r="AA39" s="3"/>
      <c r="AB39" s="3"/>
      <c r="AC39" s="2"/>
      <c r="AD39" s="39"/>
      <c r="AE39" s="2"/>
      <c r="AF39" s="2"/>
      <c r="AG39" s="2"/>
      <c r="AH39" s="2"/>
    </row>
    <row r="40" spans="3:34" x14ac:dyDescent="0.25">
      <c r="C40"/>
      <c r="E40"/>
      <c r="H40" s="2"/>
      <c r="I40" s="12"/>
      <c r="J40" s="4"/>
      <c r="K40" s="12"/>
      <c r="L40" s="4"/>
      <c r="M40" s="3"/>
      <c r="N40" s="2"/>
      <c r="O40" s="12"/>
      <c r="P40" s="4"/>
      <c r="Q40" s="12"/>
      <c r="R40" s="4"/>
      <c r="S40" s="3"/>
      <c r="T40" s="2"/>
      <c r="U40" s="12"/>
      <c r="V40" s="4"/>
      <c r="W40" s="12"/>
      <c r="X40" s="4"/>
      <c r="Y40" s="3"/>
      <c r="Z40" s="3"/>
      <c r="AA40" s="3"/>
      <c r="AB40" s="3"/>
      <c r="AC40" s="2"/>
      <c r="AD40" s="2"/>
      <c r="AE40" s="2"/>
      <c r="AF40" s="2"/>
      <c r="AG40" s="2"/>
      <c r="AH40" s="2"/>
    </row>
    <row r="41" spans="3:34" x14ac:dyDescent="0.25">
      <c r="C41"/>
      <c r="E41"/>
    </row>
    <row r="42" spans="3:34" x14ac:dyDescent="0.25">
      <c r="C42"/>
      <c r="E42"/>
    </row>
    <row r="43" spans="3:34" x14ac:dyDescent="0.25">
      <c r="C43"/>
      <c r="E43"/>
    </row>
  </sheetData>
  <mergeCells count="2">
    <mergeCell ref="M23:N23"/>
    <mergeCell ref="M24:N24"/>
  </mergeCells>
  <conditionalFormatting sqref="H23:H24">
    <cfRule type="cellIs" dxfId="5" priority="1" operator="between">
      <formula>10</formula>
      <formula>-10</formula>
    </cfRule>
  </conditionalFormatting>
  <conditionalFormatting sqref="M4:M14">
    <cfRule type="cellIs" dxfId="4" priority="6" operator="between">
      <formula>10</formula>
      <formula>-10</formula>
    </cfRule>
  </conditionalFormatting>
  <conditionalFormatting sqref="Q4:S4 AC4:AE11 K4:M14 AF4:AF15 AI4:AK15 E4:G16 W4:Y16 R5:S16 Q5:Q19 AC12:AD18 K15:L17 E17:F18 W17:X18 R17:R19">
    <cfRule type="cellIs" dxfId="3" priority="2" operator="greaterThan">
      <formula>10</formula>
    </cfRule>
  </conditionalFormatting>
  <conditionalFormatting sqref="Q4:S4 AC4:AE11 K4:M14 AF4:AF15 AI4:AK15 E4:G16 W4:Y16 R5:S16 Q5:Q19 AC12:AD18 K15:L18 E17:F18 W17:X18 R17:R19">
    <cfRule type="cellIs" dxfId="2" priority="3" operator="lessThan">
      <formula>-10</formula>
    </cfRule>
  </conditionalFormatting>
  <conditionalFormatting sqref="S4:S16">
    <cfRule type="cellIs" dxfId="1" priority="5" operator="between">
      <formula>10</formula>
      <formula>-10</formula>
    </cfRule>
  </conditionalFormatting>
  <conditionalFormatting sqref="AE4:AE11 AF4:AF15 AI4:AK15 G4:G16 Y4:Y16">
    <cfRule type="cellIs" dxfId="0" priority="7" operator="between">
      <formula>10</formula>
      <formula>-10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Felipe Rezende</cp:lastModifiedBy>
  <dcterms:created xsi:type="dcterms:W3CDTF">2017-04-21T05:36:45Z</dcterms:created>
  <dcterms:modified xsi:type="dcterms:W3CDTF">2025-01-23T02:27:54Z</dcterms:modified>
</cp:coreProperties>
</file>